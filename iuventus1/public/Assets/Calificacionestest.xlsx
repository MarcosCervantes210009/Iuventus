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COS" sheetId="1" r:id="rId4"/>
    <sheet state="visible" name="Hoja 1" sheetId="2" r:id="rId5"/>
  </sheets>
  <definedNames>
    <definedName hidden="1" localSheetId="0" name="_xlnm._FilterDatabase">MARCOS!$A$1:$Y$40</definedName>
  </definedNames>
  <calcPr/>
</workbook>
</file>

<file path=xl/sharedStrings.xml><?xml version="1.0" encoding="utf-8"?>
<sst xmlns="http://schemas.openxmlformats.org/spreadsheetml/2006/main" count="126" uniqueCount="91">
  <si>
    <t>SEGUNDO  SECUNDARIA</t>
  </si>
  <si>
    <t>INFORMATICA</t>
  </si>
  <si>
    <t>TERCERO  SECUNDARIA</t>
  </si>
  <si>
    <t xml:space="preserve">PRIMER SEMESTRE </t>
  </si>
  <si>
    <t>CULTURA DIGITAL I</t>
  </si>
  <si>
    <t>Estudiante</t>
  </si>
  <si>
    <t>Entrega puntual 10%</t>
  </si>
  <si>
    <t>Examenes 30%</t>
  </si>
  <si>
    <t>A. Formativos 30%</t>
  </si>
  <si>
    <t xml:space="preserve">Promedio </t>
  </si>
  <si>
    <t>Guías   30%</t>
  </si>
  <si>
    <t>A.Formativos</t>
  </si>
  <si>
    <t>Aleman Ramos Catherine Guadalupe</t>
  </si>
  <si>
    <t xml:space="preserve">Barrera Muñoz Ana Paola </t>
  </si>
  <si>
    <t>Archundia Escobedo Natalia</t>
  </si>
  <si>
    <t xml:space="preserve">Beltrán Loredo Tania Fernanda </t>
  </si>
  <si>
    <t xml:space="preserve">Berumen Dena Carolina </t>
  </si>
  <si>
    <t xml:space="preserve">Beltrán Loredo Eduardo </t>
  </si>
  <si>
    <t>Cortés Romero Brianda</t>
  </si>
  <si>
    <t>Colunga Reyes José María</t>
  </si>
  <si>
    <t>Del Villar Breceda Laura Montserrat</t>
  </si>
  <si>
    <t xml:space="preserve">Pendiente a presentar examen y guia </t>
  </si>
  <si>
    <t>Cruz Mendez Nicolás</t>
  </si>
  <si>
    <t xml:space="preserve">Díaz Gaytan Angel de Jesús </t>
  </si>
  <si>
    <t>Elizalde Álvarez Daniel</t>
  </si>
  <si>
    <t>Dorado Rodriguez Victoria</t>
  </si>
  <si>
    <t>Estrada Márquez Camila Aimé</t>
  </si>
  <si>
    <t>Favela Salmeron Sebastián</t>
  </si>
  <si>
    <t>Jordan Porter Natalia</t>
  </si>
  <si>
    <t>Estrada Márquez Gibrán Joaquín</t>
  </si>
  <si>
    <t>González Beltrán Renato</t>
  </si>
  <si>
    <t xml:space="preserve">Lara Maldonado Amber </t>
  </si>
  <si>
    <t>Estrada Márquez Lía Sofía</t>
  </si>
  <si>
    <t>López González Aurora</t>
  </si>
  <si>
    <t xml:space="preserve">López Lira Pablo </t>
  </si>
  <si>
    <t xml:space="preserve">Hernández Jáuregui Leonardo </t>
  </si>
  <si>
    <t xml:space="preserve">López Villegas David Jacob </t>
  </si>
  <si>
    <t>López Valdez Fernanda</t>
  </si>
  <si>
    <t>Macías Herrera Ikal Samuel</t>
  </si>
  <si>
    <t>Mendoza Arjona Emilia Aitana</t>
  </si>
  <si>
    <t>Macías de Luna Carlos Aarón</t>
  </si>
  <si>
    <t>Ríos Ubando Luciana</t>
  </si>
  <si>
    <t>Moreno Monroy Kan Balam</t>
  </si>
  <si>
    <t xml:space="preserve">Márquez Vázquez Cristhian </t>
  </si>
  <si>
    <t>Robles Lucero Miguel Angel</t>
  </si>
  <si>
    <t xml:space="preserve">Muslera Rangel Adrián </t>
  </si>
  <si>
    <t>Martínez López Nahu</t>
  </si>
  <si>
    <t xml:space="preserve">Rodríguez Morán Darío Armando </t>
  </si>
  <si>
    <t xml:space="preserve">Novoa De Alba José Emilio </t>
  </si>
  <si>
    <t>Melendrez Moreno Hana Valeria</t>
  </si>
  <si>
    <t>Sabag Leal Joaquin</t>
  </si>
  <si>
    <t>Pimentel Langle Alonso</t>
  </si>
  <si>
    <t>Ocampo Holguin Luna Katalina</t>
  </si>
  <si>
    <t>Samaniego Osuna Carlos Santiago</t>
  </si>
  <si>
    <t>Purón Lombardero Camila</t>
  </si>
  <si>
    <t xml:space="preserve">Rodriguez Monroy Francisco Adonai </t>
  </si>
  <si>
    <t xml:space="preserve">Silva Falcó Vanessa </t>
  </si>
  <si>
    <t xml:space="preserve">Ruvalcaba González Leonardo Isaac </t>
  </si>
  <si>
    <t>Sada Corrales Armando Maximiliano</t>
  </si>
  <si>
    <t xml:space="preserve">Villalobos Rodríguez Julián Santiago </t>
  </si>
  <si>
    <t>Sánchez Peñaloza Camila</t>
  </si>
  <si>
    <t>Veloz González Julieta</t>
  </si>
  <si>
    <t>Vizcaíno Cardiel Carlos Santiago</t>
  </si>
  <si>
    <t>Barrios Picazo Jesús Rafael</t>
  </si>
  <si>
    <t xml:space="preserve">Alvarez Salazar Mía Victoria </t>
  </si>
  <si>
    <t>Cardona Guerrero Zarah</t>
  </si>
  <si>
    <t>Briones Ruiz Flores Ivanna</t>
  </si>
  <si>
    <t>Chavez Medina Roberto Carlos</t>
  </si>
  <si>
    <t xml:space="preserve">Cruz Vargas Ary </t>
  </si>
  <si>
    <t>Córdova Ramos Mateo Alexander</t>
  </si>
  <si>
    <t xml:space="preserve">Dávila Ramos Manuel Alejandro </t>
  </si>
  <si>
    <t xml:space="preserve">De Alba Teyssier Luna </t>
  </si>
  <si>
    <t xml:space="preserve">Garnica Barragán Gilberto Yael </t>
  </si>
  <si>
    <t xml:space="preserve">Del Villar Breceda Alfredo </t>
  </si>
  <si>
    <t>Gómez García Santiago</t>
  </si>
  <si>
    <t>Elizalde Álvarez Rodrigo</t>
  </si>
  <si>
    <t>Ortiz Aguilera Aaron Emmanuel</t>
  </si>
  <si>
    <t>Guerrero Cruz Cristóbal Emiliano</t>
  </si>
  <si>
    <t xml:space="preserve">Ortiz Guzmán Valeria </t>
  </si>
  <si>
    <t>Herrera Gallo Hector Bernardo</t>
  </si>
  <si>
    <t>Reyes Velázquez Itzel Yaretzi</t>
  </si>
  <si>
    <t>López Aguilar Elena Marley</t>
  </si>
  <si>
    <t>Robles Andrade Izabella</t>
  </si>
  <si>
    <t>López Martínez José Alejandro</t>
  </si>
  <si>
    <t>Robles Andrade Klarissa</t>
  </si>
  <si>
    <t>Paredes Durón Casandra Yaretzi</t>
  </si>
  <si>
    <t>Rubio Soto Camila (SIMON)</t>
  </si>
  <si>
    <t>Partida Parga Iker</t>
  </si>
  <si>
    <t xml:space="preserve">Valdivia Rodríguez Gael </t>
  </si>
  <si>
    <t xml:space="preserve">Piña Velasco Ana Dalí </t>
  </si>
  <si>
    <t>Villaseñor Estrada Mateo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</si>
</sst>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1">
    <font>
      <sz val="11.0"/>
      <color theme="1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b/>
      <sz val="11.0"/>
      <color theme="1"/>
      <name val="Calibri"/>
    </font>
    <font/>
    <font>
      <b/>
      <sz val="18.0"/>
      <color theme="1"/>
      <name val="Calibri"/>
    </font>
    <font>
      <b/>
      <sz val="9.0"/>
      <color theme="1"/>
      <name val="Calibri"/>
    </font>
    <font>
      <sz val="11.0"/>
      <color theme="1"/>
      <name val="Calibri"/>
    </font>
    <font>
      <sz val="10.0"/>
      <color rgb="FF000000"/>
      <name val="Corbel"/>
    </font>
    <font>
      <sz val="11.0"/>
      <color rgb="FF000000"/>
      <name val="Calibri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9CC2E5"/>
        <bgColor rgb="FF9CC2E5"/>
      </patternFill>
    </fill>
    <fill>
      <patternFill patternType="solid">
        <fgColor rgb="FFD0CECE"/>
        <bgColor rgb="FFD0CECE"/>
      </patternFill>
    </fill>
    <fill>
      <patternFill patternType="solid">
        <fgColor rgb="FFBFBFBF"/>
        <bgColor rgb="FFBFBFBF"/>
      </patternFill>
    </fill>
  </fills>
  <borders count="10">
    <border/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Alignment="1" applyBorder="1" applyFont="1">
      <alignment horizontal="center" vertical="center"/>
    </xf>
    <xf borderId="2" fillId="0" fontId="4" numFmtId="0" xfId="0" applyBorder="1" applyFont="1"/>
    <xf borderId="1" fillId="3" fontId="2" numFmtId="0" xfId="0" applyAlignment="1" applyBorder="1" applyFill="1" applyFont="1">
      <alignment horizontal="center"/>
    </xf>
    <xf borderId="3" fillId="4" fontId="5" numFmtId="0" xfId="0" applyAlignment="1" applyBorder="1" applyFill="1" applyFont="1">
      <alignment horizontal="center" shrinkToFit="0" textRotation="90" wrapText="1"/>
    </xf>
    <xf borderId="4" fillId="4" fontId="3" numFmtId="0" xfId="0" applyAlignment="1" applyBorder="1" applyFont="1">
      <alignment horizontal="center"/>
    </xf>
    <xf borderId="5" fillId="4" fontId="6" numFmtId="0" xfId="0" applyAlignment="1" applyBorder="1" applyFont="1">
      <alignment horizontal="center" textRotation="90"/>
    </xf>
    <xf borderId="6" fillId="0" fontId="4" numFmtId="0" xfId="0" applyBorder="1" applyFont="1"/>
    <xf borderId="3" fillId="4" fontId="6" numFmtId="0" xfId="0" applyAlignment="1" applyBorder="1" applyFont="1">
      <alignment horizontal="center" textRotation="90"/>
    </xf>
    <xf borderId="3" fillId="4" fontId="6" numFmtId="0" xfId="0" applyAlignment="1" applyBorder="1" applyFont="1">
      <alignment textRotation="90" vertical="center"/>
    </xf>
    <xf borderId="3" fillId="4" fontId="6" numFmtId="0" xfId="0" applyAlignment="1" applyBorder="1" applyFont="1">
      <alignment horizontal="center" shrinkToFit="0" textRotation="90" wrapText="1"/>
    </xf>
    <xf borderId="3" fillId="4" fontId="6" numFmtId="0" xfId="0" applyAlignment="1" applyBorder="1" applyFont="1">
      <alignment horizontal="center" readingOrder="0" shrinkToFit="0" textRotation="90" wrapText="1"/>
    </xf>
    <xf borderId="3" fillId="0" fontId="1" numFmtId="0" xfId="0" applyBorder="1" applyFont="1"/>
    <xf borderId="3" fillId="0" fontId="7" numFmtId="0" xfId="0" applyBorder="1" applyFont="1"/>
    <xf borderId="6" fillId="0" fontId="1" numFmtId="0" xfId="0" applyBorder="1" applyFont="1"/>
    <xf borderId="3" fillId="0" fontId="8" numFmtId="164" xfId="0" applyAlignment="1" applyBorder="1" applyFont="1" applyNumberFormat="1">
      <alignment horizontal="center"/>
    </xf>
    <xf borderId="3" fillId="0" fontId="9" numFmtId="0" xfId="0" applyBorder="1" applyFont="1"/>
    <xf borderId="3" fillId="0" fontId="1" numFmtId="0" xfId="0" applyAlignment="1" applyBorder="1" applyFont="1">
      <alignment readingOrder="0"/>
    </xf>
    <xf borderId="3" fillId="0" fontId="7" numFmtId="0" xfId="0" applyAlignment="1" applyBorder="1" applyFont="1">
      <alignment readingOrder="0"/>
    </xf>
    <xf borderId="5" fillId="0" fontId="1" numFmtId="0" xfId="0" applyBorder="1" applyFont="1"/>
    <xf borderId="0" fillId="0" fontId="10" numFmtId="0" xfId="0" applyAlignment="1" applyFont="1">
      <alignment readingOrder="0"/>
    </xf>
    <xf borderId="6" fillId="0" fontId="7" numFmtId="0" xfId="0" applyBorder="1" applyFont="1"/>
    <xf borderId="7" fillId="0" fontId="1" numFmtId="0" xfId="0" applyBorder="1" applyFont="1"/>
    <xf borderId="3" fillId="5" fontId="1" numFmtId="0" xfId="0" applyBorder="1" applyFill="1" applyFont="1"/>
    <xf borderId="4" fillId="5" fontId="1" numFmtId="0" xfId="0" applyBorder="1" applyFont="1"/>
    <xf borderId="3" fillId="5" fontId="7" numFmtId="0" xfId="0" applyBorder="1" applyFont="1"/>
    <xf borderId="3" fillId="5" fontId="8" numFmtId="164" xfId="0" applyAlignment="1" applyBorder="1" applyFont="1" applyNumberFormat="1">
      <alignment horizontal="center"/>
    </xf>
    <xf borderId="3" fillId="0" fontId="7" numFmtId="0" xfId="0" applyAlignment="1" applyBorder="1" applyFont="1">
      <alignment vertical="center"/>
    </xf>
    <xf borderId="6" fillId="0" fontId="7" numFmtId="0" xfId="0" applyAlignment="1" applyBorder="1" applyFont="1">
      <alignment readingOrder="0"/>
    </xf>
    <xf borderId="8" fillId="0" fontId="8" numFmtId="164" xfId="0" applyAlignment="1" applyBorder="1" applyFont="1" applyNumberFormat="1">
      <alignment horizontal="center"/>
    </xf>
    <xf borderId="9" fillId="0" fontId="8" numFmtId="164" xfId="0" applyAlignment="1" applyBorder="1" applyFont="1" applyNumberFormat="1">
      <alignment horizontal="center"/>
    </xf>
    <xf borderId="9" fillId="0" fontId="7" numFmtId="0" xfId="0" applyBorder="1" applyFont="1"/>
    <xf borderId="7" fillId="0" fontId="9" numFmtId="0" xfId="0" applyBorder="1" applyFont="1"/>
    <xf borderId="5" fillId="0" fontId="8" numFmtId="164" xfId="0" applyAlignment="1" applyBorder="1" applyFont="1" applyNumberFormat="1">
      <alignment horizontal="center"/>
    </xf>
    <xf borderId="0" fillId="0" fontId="7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.13"/>
    <col customWidth="1" min="2" max="2" width="34.75"/>
    <col customWidth="1" min="3" max="7" width="4.0"/>
    <col customWidth="1" min="8" max="9" width="5.75"/>
    <col customWidth="1" min="10" max="10" width="33.13"/>
    <col customWidth="1" min="11" max="15" width="4.0"/>
    <col customWidth="1" min="16" max="17" width="5.88"/>
    <col customWidth="1" min="18" max="18" width="33.13"/>
    <col customWidth="1" min="19" max="23" width="4.0"/>
    <col customWidth="1" min="24" max="24" width="5.63"/>
  </cols>
  <sheetData>
    <row r="1" ht="27.0" customHeight="1">
      <c r="A1" s="1"/>
      <c r="B1" s="2" t="s">
        <v>0</v>
      </c>
      <c r="C1" s="3" t="s">
        <v>1</v>
      </c>
      <c r="D1" s="4"/>
      <c r="E1" s="4"/>
      <c r="F1" s="4"/>
      <c r="G1" s="4"/>
      <c r="H1" s="4"/>
      <c r="I1" s="1"/>
      <c r="J1" s="2" t="s">
        <v>2</v>
      </c>
      <c r="K1" s="3" t="s">
        <v>1</v>
      </c>
      <c r="L1" s="4"/>
      <c r="M1" s="4"/>
      <c r="N1" s="4"/>
      <c r="O1" s="4"/>
      <c r="P1" s="4"/>
      <c r="Q1" s="1"/>
      <c r="R1" s="5" t="s">
        <v>3</v>
      </c>
      <c r="S1" s="3" t="s">
        <v>4</v>
      </c>
      <c r="T1" s="4"/>
      <c r="U1" s="4"/>
      <c r="V1" s="4"/>
      <c r="W1" s="4"/>
      <c r="X1" s="4"/>
    </row>
    <row r="2">
      <c r="A2" s="6"/>
      <c r="B2" s="7" t="s">
        <v>5</v>
      </c>
      <c r="C2" s="8">
        <f>PRODUCT(A2,B2)</f>
        <v>0</v>
      </c>
      <c r="D2" s="9"/>
      <c r="E2" s="10" t="s">
        <v>6</v>
      </c>
      <c r="F2" s="11" t="s">
        <v>7</v>
      </c>
      <c r="G2" s="12" t="s">
        <v>8</v>
      </c>
      <c r="H2" s="6" t="s">
        <v>9</v>
      </c>
      <c r="I2" s="6"/>
      <c r="J2" s="7" t="s">
        <v>5</v>
      </c>
      <c r="K2" s="8" t="s">
        <v>10</v>
      </c>
      <c r="L2" s="9"/>
      <c r="M2" s="10" t="s">
        <v>6</v>
      </c>
      <c r="N2" s="11" t="s">
        <v>7</v>
      </c>
      <c r="O2" s="13" t="s">
        <v>11</v>
      </c>
      <c r="P2" s="6" t="s">
        <v>9</v>
      </c>
      <c r="Q2" s="6"/>
      <c r="R2" s="7" t="s">
        <v>5</v>
      </c>
      <c r="S2" s="8" t="s">
        <v>10</v>
      </c>
      <c r="T2" s="9"/>
      <c r="U2" s="10" t="s">
        <v>6</v>
      </c>
      <c r="V2" s="11" t="s">
        <v>7</v>
      </c>
      <c r="W2" s="12" t="s">
        <v>8</v>
      </c>
      <c r="X2" s="6" t="s">
        <v>9</v>
      </c>
    </row>
    <row r="3">
      <c r="A3" s="14">
        <v>1.0</v>
      </c>
      <c r="B3" s="15" t="s">
        <v>12</v>
      </c>
      <c r="C3" s="16"/>
      <c r="D3" s="14"/>
      <c r="E3" s="15"/>
      <c r="F3" s="15"/>
      <c r="G3" s="15"/>
      <c r="H3" s="17" t="str">
        <f t="shared" ref="H3:H38" si="1">+(AVERAGE(C3,D3)*0.3)+(E3*0.1)+(F3*0.3)+(G3*0.3)</f>
        <v>#DIV/0!</v>
      </c>
      <c r="I3" s="14">
        <v>1.0</v>
      </c>
      <c r="J3" s="18" t="s">
        <v>13</v>
      </c>
      <c r="K3" s="16"/>
      <c r="L3" s="19">
        <v>10.0</v>
      </c>
      <c r="M3" s="15">
        <v>10.0</v>
      </c>
      <c r="N3" s="20">
        <v>10.0</v>
      </c>
      <c r="O3" s="20">
        <v>10.0</v>
      </c>
      <c r="P3" s="17">
        <f t="shared" ref="P3:P18" si="2">+(AVERAGE(K3,L3)*0.3)+(M3*0.1)+(N3*0.3)+(O3*0.3)</f>
        <v>10</v>
      </c>
      <c r="Q3" s="21">
        <v>1.0</v>
      </c>
      <c r="R3" s="14" t="s">
        <v>14</v>
      </c>
      <c r="S3" s="16"/>
      <c r="T3" s="14">
        <v>8.5</v>
      </c>
      <c r="U3" s="15">
        <v>10.0</v>
      </c>
      <c r="V3" s="15">
        <v>10.0</v>
      </c>
      <c r="W3" s="15">
        <v>10.0</v>
      </c>
      <c r="X3" s="17">
        <f t="shared" ref="X3:X37" si="3">+(AVERAGE(S3,T3)*0.3)+(U3*0.1)+(V3*0.3)+(W3*0.3)</f>
        <v>9.55</v>
      </c>
    </row>
    <row r="4">
      <c r="A4" s="14">
        <v>2.0</v>
      </c>
      <c r="B4" s="15" t="s">
        <v>15</v>
      </c>
      <c r="C4" s="16"/>
      <c r="D4" s="14"/>
      <c r="E4" s="15"/>
      <c r="F4" s="15"/>
      <c r="G4" s="15"/>
      <c r="H4" s="17" t="str">
        <f t="shared" si="1"/>
        <v>#DIV/0!</v>
      </c>
      <c r="I4" s="14">
        <v>2.0</v>
      </c>
      <c r="J4" s="18" t="s">
        <v>16</v>
      </c>
      <c r="K4" s="16"/>
      <c r="L4" s="14">
        <v>10.0</v>
      </c>
      <c r="M4" s="15">
        <v>10.0</v>
      </c>
      <c r="N4" s="20">
        <v>8.5</v>
      </c>
      <c r="O4" s="20">
        <v>10.0</v>
      </c>
      <c r="P4" s="17">
        <f t="shared" si="2"/>
        <v>9.55</v>
      </c>
      <c r="Q4" s="21">
        <v>2.0</v>
      </c>
      <c r="R4" s="14" t="s">
        <v>17</v>
      </c>
      <c r="S4" s="16"/>
      <c r="T4" s="19">
        <v>10.0</v>
      </c>
      <c r="U4" s="15">
        <v>10.0</v>
      </c>
      <c r="V4" s="20">
        <v>9.5</v>
      </c>
      <c r="W4" s="20">
        <v>10.0</v>
      </c>
      <c r="X4" s="17">
        <f t="shared" si="3"/>
        <v>9.85</v>
      </c>
    </row>
    <row r="5">
      <c r="A5" s="14">
        <v>3.0</v>
      </c>
      <c r="B5" s="15" t="s">
        <v>18</v>
      </c>
      <c r="C5" s="16"/>
      <c r="D5" s="14"/>
      <c r="E5" s="15"/>
      <c r="F5" s="15"/>
      <c r="G5" s="15"/>
      <c r="H5" s="17" t="str">
        <f t="shared" si="1"/>
        <v>#DIV/0!</v>
      </c>
      <c r="I5" s="14">
        <v>3.0</v>
      </c>
      <c r="J5" s="18" t="s">
        <v>19</v>
      </c>
      <c r="K5" s="16"/>
      <c r="L5" s="14">
        <v>10.0</v>
      </c>
      <c r="M5" s="15">
        <v>10.0</v>
      </c>
      <c r="N5" s="20">
        <v>10.0</v>
      </c>
      <c r="O5" s="20">
        <v>10.0</v>
      </c>
      <c r="P5" s="17">
        <f t="shared" si="2"/>
        <v>10</v>
      </c>
      <c r="Q5" s="21">
        <v>3.0</v>
      </c>
      <c r="R5" s="14" t="s">
        <v>20</v>
      </c>
      <c r="S5" s="16"/>
      <c r="T5" s="19">
        <v>0.0</v>
      </c>
      <c r="U5" s="20">
        <v>0.0</v>
      </c>
      <c r="V5" s="20">
        <v>0.0</v>
      </c>
      <c r="W5" s="20">
        <v>10.0</v>
      </c>
      <c r="X5" s="17">
        <f t="shared" si="3"/>
        <v>3</v>
      </c>
      <c r="Y5" s="22" t="s">
        <v>21</v>
      </c>
    </row>
    <row r="6">
      <c r="A6" s="14">
        <v>4.0</v>
      </c>
      <c r="B6" s="15" t="s">
        <v>22</v>
      </c>
      <c r="C6" s="16"/>
      <c r="D6" s="14"/>
      <c r="E6" s="15"/>
      <c r="F6" s="15"/>
      <c r="G6" s="15"/>
      <c r="H6" s="17" t="str">
        <f t="shared" si="1"/>
        <v>#DIV/0!</v>
      </c>
      <c r="I6" s="14">
        <v>4.0</v>
      </c>
      <c r="J6" s="14" t="s">
        <v>23</v>
      </c>
      <c r="K6" s="16"/>
      <c r="L6" s="19">
        <v>10.0</v>
      </c>
      <c r="M6" s="15">
        <v>10.0</v>
      </c>
      <c r="N6" s="20">
        <v>7.5</v>
      </c>
      <c r="O6" s="20">
        <v>5.0</v>
      </c>
      <c r="P6" s="17">
        <f t="shared" si="2"/>
        <v>7.75</v>
      </c>
      <c r="Q6" s="21">
        <v>4.0</v>
      </c>
      <c r="R6" s="14" t="s">
        <v>24</v>
      </c>
      <c r="S6" s="16"/>
      <c r="T6" s="14">
        <v>10.0</v>
      </c>
      <c r="U6" s="15">
        <v>10.0</v>
      </c>
      <c r="V6" s="15">
        <v>10.0</v>
      </c>
      <c r="W6" s="20">
        <v>10.0</v>
      </c>
      <c r="X6" s="17">
        <f t="shared" si="3"/>
        <v>10</v>
      </c>
    </row>
    <row r="7">
      <c r="A7" s="14">
        <v>5.0</v>
      </c>
      <c r="B7" s="15" t="s">
        <v>25</v>
      </c>
      <c r="C7" s="16"/>
      <c r="D7" s="14"/>
      <c r="E7" s="15"/>
      <c r="F7" s="15"/>
      <c r="G7" s="15"/>
      <c r="H7" s="17" t="str">
        <f t="shared" si="1"/>
        <v>#DIV/0!</v>
      </c>
      <c r="I7" s="14">
        <v>5.0</v>
      </c>
      <c r="J7" s="14" t="s">
        <v>26</v>
      </c>
      <c r="K7" s="16"/>
      <c r="L7" s="19">
        <v>8.3</v>
      </c>
      <c r="M7" s="15">
        <v>10.0</v>
      </c>
      <c r="N7" s="20">
        <v>9.0</v>
      </c>
      <c r="O7" s="20">
        <v>7.0</v>
      </c>
      <c r="P7" s="17">
        <f t="shared" si="2"/>
        <v>8.29</v>
      </c>
      <c r="Q7" s="21">
        <v>5.0</v>
      </c>
      <c r="R7" s="14" t="s">
        <v>27</v>
      </c>
      <c r="S7" s="16"/>
      <c r="T7" s="19">
        <v>0.0</v>
      </c>
      <c r="U7" s="20">
        <v>0.0</v>
      </c>
      <c r="V7" s="15">
        <v>5.0</v>
      </c>
      <c r="W7" s="20">
        <v>10.0</v>
      </c>
      <c r="X7" s="17">
        <f t="shared" si="3"/>
        <v>4.5</v>
      </c>
    </row>
    <row r="8">
      <c r="A8" s="14">
        <v>6.0</v>
      </c>
      <c r="B8" s="15" t="s">
        <v>28</v>
      </c>
      <c r="C8" s="16"/>
      <c r="D8" s="14"/>
      <c r="E8" s="15"/>
      <c r="F8" s="15"/>
      <c r="G8" s="15"/>
      <c r="H8" s="17" t="str">
        <f t="shared" si="1"/>
        <v>#DIV/0!</v>
      </c>
      <c r="I8" s="14">
        <v>6.0</v>
      </c>
      <c r="J8" s="14" t="s">
        <v>29</v>
      </c>
      <c r="K8" s="16"/>
      <c r="L8" s="19">
        <v>8.3</v>
      </c>
      <c r="M8" s="15">
        <v>10.0</v>
      </c>
      <c r="N8" s="20">
        <v>7.0</v>
      </c>
      <c r="O8" s="20">
        <v>7.0</v>
      </c>
      <c r="P8" s="17">
        <f t="shared" si="2"/>
        <v>7.69</v>
      </c>
      <c r="Q8" s="21">
        <v>6.0</v>
      </c>
      <c r="R8" s="14" t="s">
        <v>30</v>
      </c>
      <c r="S8" s="16"/>
      <c r="T8" s="14">
        <v>8.1</v>
      </c>
      <c r="U8" s="15">
        <v>10.0</v>
      </c>
      <c r="V8" s="20">
        <v>8.5</v>
      </c>
      <c r="W8" s="20">
        <v>10.0</v>
      </c>
      <c r="X8" s="17">
        <f t="shared" si="3"/>
        <v>8.98</v>
      </c>
    </row>
    <row r="9">
      <c r="A9" s="14">
        <v>7.0</v>
      </c>
      <c r="B9" s="15" t="s">
        <v>31</v>
      </c>
      <c r="C9" s="16"/>
      <c r="D9" s="14"/>
      <c r="E9" s="15"/>
      <c r="F9" s="15"/>
      <c r="G9" s="15"/>
      <c r="H9" s="17" t="str">
        <f t="shared" si="1"/>
        <v>#DIV/0!</v>
      </c>
      <c r="I9" s="14">
        <v>7.0</v>
      </c>
      <c r="J9" s="14" t="s">
        <v>32</v>
      </c>
      <c r="K9" s="16"/>
      <c r="L9" s="14">
        <v>8.625</v>
      </c>
      <c r="M9" s="15">
        <v>10.0</v>
      </c>
      <c r="N9" s="20">
        <v>4.0</v>
      </c>
      <c r="O9" s="20">
        <v>7.0</v>
      </c>
      <c r="P9" s="17">
        <f t="shared" si="2"/>
        <v>6.8875</v>
      </c>
      <c r="Q9" s="21">
        <v>7.0</v>
      </c>
      <c r="R9" s="14" t="s">
        <v>33</v>
      </c>
      <c r="S9" s="16"/>
      <c r="T9" s="19">
        <v>10.0</v>
      </c>
      <c r="U9" s="15">
        <v>10.0</v>
      </c>
      <c r="V9" s="20">
        <v>10.0</v>
      </c>
      <c r="W9" s="15">
        <v>10.0</v>
      </c>
      <c r="X9" s="17">
        <f t="shared" si="3"/>
        <v>10</v>
      </c>
    </row>
    <row r="10">
      <c r="A10" s="14">
        <v>8.0</v>
      </c>
      <c r="B10" s="15" t="s">
        <v>34</v>
      </c>
      <c r="C10" s="16"/>
      <c r="D10" s="14"/>
      <c r="E10" s="15"/>
      <c r="F10" s="15"/>
      <c r="G10" s="15"/>
      <c r="H10" s="17" t="str">
        <f t="shared" si="1"/>
        <v>#DIV/0!</v>
      </c>
      <c r="I10" s="14">
        <v>8.0</v>
      </c>
      <c r="J10" s="18" t="s">
        <v>35</v>
      </c>
      <c r="K10" s="16"/>
      <c r="L10" s="14"/>
      <c r="M10" s="15"/>
      <c r="N10" s="15"/>
      <c r="O10" s="20"/>
      <c r="P10" s="17" t="str">
        <f t="shared" si="2"/>
        <v>#DIV/0!</v>
      </c>
      <c r="Q10" s="21">
        <v>8.0</v>
      </c>
      <c r="R10" s="14" t="s">
        <v>36</v>
      </c>
      <c r="S10" s="16"/>
      <c r="T10" s="19">
        <v>10.0</v>
      </c>
      <c r="U10" s="15">
        <v>10.0</v>
      </c>
      <c r="V10" s="20">
        <v>10.0</v>
      </c>
      <c r="W10" s="20">
        <v>10.0</v>
      </c>
      <c r="X10" s="17">
        <f t="shared" si="3"/>
        <v>10</v>
      </c>
    </row>
    <row r="11">
      <c r="A11" s="14">
        <v>9.0</v>
      </c>
      <c r="B11" s="15" t="s">
        <v>37</v>
      </c>
      <c r="C11" s="16"/>
      <c r="D11" s="14"/>
      <c r="E11" s="15"/>
      <c r="F11" s="15"/>
      <c r="G11" s="15"/>
      <c r="H11" s="17" t="str">
        <f t="shared" si="1"/>
        <v>#DIV/0!</v>
      </c>
      <c r="I11" s="14">
        <v>9.0</v>
      </c>
      <c r="J11" s="18" t="s">
        <v>38</v>
      </c>
      <c r="K11" s="16"/>
      <c r="L11" s="19">
        <v>10.0</v>
      </c>
      <c r="M11" s="15">
        <v>10.0</v>
      </c>
      <c r="N11" s="20">
        <v>8.0</v>
      </c>
      <c r="O11" s="20">
        <v>10.0</v>
      </c>
      <c r="P11" s="17">
        <f t="shared" si="2"/>
        <v>9.4</v>
      </c>
      <c r="Q11" s="21">
        <v>9.0</v>
      </c>
      <c r="R11" s="14" t="s">
        <v>39</v>
      </c>
      <c r="S11" s="16"/>
      <c r="T11" s="14">
        <v>10.0</v>
      </c>
      <c r="U11" s="15">
        <v>10.0</v>
      </c>
      <c r="V11" s="20">
        <v>10.0</v>
      </c>
      <c r="W11" s="15">
        <v>10.0</v>
      </c>
      <c r="X11" s="17">
        <f t="shared" si="3"/>
        <v>10</v>
      </c>
    </row>
    <row r="12">
      <c r="A12" s="14">
        <v>10.0</v>
      </c>
      <c r="B12" s="15" t="s">
        <v>40</v>
      </c>
      <c r="C12" s="16"/>
      <c r="D12" s="14"/>
      <c r="E12" s="15"/>
      <c r="F12" s="15"/>
      <c r="G12" s="15"/>
      <c r="H12" s="17" t="str">
        <f t="shared" si="1"/>
        <v>#DIV/0!</v>
      </c>
      <c r="I12" s="14">
        <v>10.0</v>
      </c>
      <c r="J12" s="18" t="s">
        <v>41</v>
      </c>
      <c r="K12" s="16"/>
      <c r="L12" s="14">
        <v>10.0</v>
      </c>
      <c r="M12" s="15">
        <v>10.0</v>
      </c>
      <c r="N12" s="20">
        <v>10.0</v>
      </c>
      <c r="O12" s="20">
        <v>10.0</v>
      </c>
      <c r="P12" s="17">
        <f t="shared" si="2"/>
        <v>10</v>
      </c>
      <c r="Q12" s="21">
        <v>10.0</v>
      </c>
      <c r="R12" s="14" t="s">
        <v>42</v>
      </c>
      <c r="S12" s="16"/>
      <c r="T12" s="19">
        <v>10.0</v>
      </c>
      <c r="U12" s="15">
        <v>10.0</v>
      </c>
      <c r="V12" s="20">
        <v>10.0</v>
      </c>
      <c r="W12" s="20">
        <v>10.0</v>
      </c>
      <c r="X12" s="17">
        <f t="shared" si="3"/>
        <v>10</v>
      </c>
    </row>
    <row r="13">
      <c r="A13" s="14">
        <v>11.0</v>
      </c>
      <c r="B13" s="15" t="s">
        <v>43</v>
      </c>
      <c r="C13" s="16"/>
      <c r="D13" s="14"/>
      <c r="E13" s="15"/>
      <c r="F13" s="15"/>
      <c r="G13" s="15"/>
      <c r="H13" s="17" t="str">
        <f t="shared" si="1"/>
        <v>#DIV/0!</v>
      </c>
      <c r="I13" s="14">
        <v>11.0</v>
      </c>
      <c r="J13" s="18" t="s">
        <v>44</v>
      </c>
      <c r="K13" s="16"/>
      <c r="L13" s="19">
        <v>5.0</v>
      </c>
      <c r="M13" s="15">
        <v>0.0</v>
      </c>
      <c r="N13" s="20">
        <v>9.0</v>
      </c>
      <c r="O13" s="20">
        <v>5.0</v>
      </c>
      <c r="P13" s="17">
        <f t="shared" si="2"/>
        <v>5.7</v>
      </c>
      <c r="Q13" s="21">
        <v>11.0</v>
      </c>
      <c r="R13" s="14" t="s">
        <v>45</v>
      </c>
      <c r="S13" s="16"/>
      <c r="T13" s="19">
        <v>9.7</v>
      </c>
      <c r="U13" s="15">
        <v>10.0</v>
      </c>
      <c r="V13" s="20">
        <v>10.0</v>
      </c>
      <c r="W13" s="20">
        <v>10.0</v>
      </c>
      <c r="X13" s="17">
        <f t="shared" si="3"/>
        <v>9.91</v>
      </c>
    </row>
    <row r="14">
      <c r="A14" s="14">
        <v>12.0</v>
      </c>
      <c r="B14" s="15" t="s">
        <v>46</v>
      </c>
      <c r="C14" s="16"/>
      <c r="D14" s="14"/>
      <c r="E14" s="15"/>
      <c r="F14" s="15"/>
      <c r="G14" s="15"/>
      <c r="H14" s="17" t="str">
        <f t="shared" si="1"/>
        <v>#DIV/0!</v>
      </c>
      <c r="I14" s="14">
        <v>12.0</v>
      </c>
      <c r="J14" s="18" t="s">
        <v>47</v>
      </c>
      <c r="K14" s="16"/>
      <c r="L14" s="14">
        <v>10.0</v>
      </c>
      <c r="M14" s="15">
        <v>10.0</v>
      </c>
      <c r="N14" s="20">
        <v>10.0</v>
      </c>
      <c r="O14" s="20">
        <v>10.0</v>
      </c>
      <c r="P14" s="17">
        <f t="shared" si="2"/>
        <v>10</v>
      </c>
      <c r="Q14" s="21">
        <v>12.0</v>
      </c>
      <c r="R14" s="14" t="s">
        <v>48</v>
      </c>
      <c r="S14" s="16"/>
      <c r="T14" s="19">
        <v>10.0</v>
      </c>
      <c r="U14" s="15">
        <v>10.0</v>
      </c>
      <c r="V14" s="20">
        <v>9.5</v>
      </c>
      <c r="W14" s="20">
        <v>10.0</v>
      </c>
      <c r="X14" s="17">
        <f t="shared" si="3"/>
        <v>9.85</v>
      </c>
    </row>
    <row r="15">
      <c r="A15" s="14">
        <v>13.0</v>
      </c>
      <c r="B15" s="15" t="s">
        <v>49</v>
      </c>
      <c r="C15" s="16"/>
      <c r="D15" s="14"/>
      <c r="E15" s="15"/>
      <c r="F15" s="15"/>
      <c r="G15" s="15"/>
      <c r="H15" s="17" t="str">
        <f t="shared" si="1"/>
        <v>#DIV/0!</v>
      </c>
      <c r="I15" s="14">
        <v>13.0</v>
      </c>
      <c r="J15" s="18" t="s">
        <v>50</v>
      </c>
      <c r="K15" s="16"/>
      <c r="L15" s="14">
        <v>10.0</v>
      </c>
      <c r="M15" s="15">
        <v>10.0</v>
      </c>
      <c r="N15" s="15">
        <v>9.5</v>
      </c>
      <c r="O15" s="20">
        <v>5.0</v>
      </c>
      <c r="P15" s="17">
        <f t="shared" si="2"/>
        <v>8.35</v>
      </c>
      <c r="Q15" s="21">
        <v>13.0</v>
      </c>
      <c r="R15" s="14" t="s">
        <v>51</v>
      </c>
      <c r="S15" s="16"/>
      <c r="T15" s="19">
        <v>10.0</v>
      </c>
      <c r="U15" s="15">
        <v>10.0</v>
      </c>
      <c r="V15" s="15">
        <v>10.0</v>
      </c>
      <c r="W15" s="20">
        <v>10.0</v>
      </c>
      <c r="X15" s="17">
        <f t="shared" si="3"/>
        <v>10</v>
      </c>
    </row>
    <row r="16">
      <c r="A16" s="14">
        <v>14.0</v>
      </c>
      <c r="B16" s="18" t="s">
        <v>52</v>
      </c>
      <c r="C16" s="16"/>
      <c r="D16" s="14"/>
      <c r="E16" s="15"/>
      <c r="F16" s="15"/>
      <c r="G16" s="15"/>
      <c r="H16" s="17" t="str">
        <f t="shared" si="1"/>
        <v>#DIV/0!</v>
      </c>
      <c r="I16" s="14">
        <v>14.0</v>
      </c>
      <c r="J16" s="18" t="s">
        <v>53</v>
      </c>
      <c r="K16" s="16"/>
      <c r="L16" s="14">
        <v>10.0</v>
      </c>
      <c r="M16" s="15">
        <v>10.0</v>
      </c>
      <c r="N16" s="20">
        <v>9.0</v>
      </c>
      <c r="O16" s="20">
        <v>5.0</v>
      </c>
      <c r="P16" s="17">
        <f t="shared" si="2"/>
        <v>8.2</v>
      </c>
      <c r="Q16" s="21">
        <v>14.0</v>
      </c>
      <c r="R16" s="14" t="s">
        <v>54</v>
      </c>
      <c r="S16" s="16"/>
      <c r="T16" s="14">
        <v>8.0</v>
      </c>
      <c r="U16" s="15">
        <v>0.0</v>
      </c>
      <c r="V16" s="20">
        <v>10.0</v>
      </c>
      <c r="W16" s="20">
        <v>10.0</v>
      </c>
      <c r="X16" s="17">
        <f t="shared" si="3"/>
        <v>8.4</v>
      </c>
    </row>
    <row r="17">
      <c r="A17" s="14">
        <v>15.0</v>
      </c>
      <c r="B17" s="15" t="s">
        <v>55</v>
      </c>
      <c r="C17" s="16"/>
      <c r="D17" s="14"/>
      <c r="E17" s="17"/>
      <c r="F17" s="17"/>
      <c r="G17" s="17"/>
      <c r="H17" s="17" t="str">
        <f t="shared" si="1"/>
        <v>#DIV/0!</v>
      </c>
      <c r="I17" s="14">
        <v>15.0</v>
      </c>
      <c r="J17" s="18" t="s">
        <v>56</v>
      </c>
      <c r="K17" s="16"/>
      <c r="L17" s="14">
        <v>9.8</v>
      </c>
      <c r="M17" s="15">
        <v>10.0</v>
      </c>
      <c r="N17" s="15">
        <v>10.0</v>
      </c>
      <c r="O17" s="20">
        <v>10.0</v>
      </c>
      <c r="P17" s="17">
        <f t="shared" si="2"/>
        <v>9.94</v>
      </c>
      <c r="Q17" s="21">
        <v>15.0</v>
      </c>
      <c r="R17" s="14" t="s">
        <v>57</v>
      </c>
      <c r="S17" s="16"/>
      <c r="T17" s="19">
        <v>9.7</v>
      </c>
      <c r="U17" s="15">
        <v>10.0</v>
      </c>
      <c r="V17" s="15">
        <v>10.0</v>
      </c>
      <c r="W17" s="20">
        <v>10.0</v>
      </c>
      <c r="X17" s="17">
        <f t="shared" si="3"/>
        <v>9.91</v>
      </c>
    </row>
    <row r="18">
      <c r="A18" s="14">
        <v>16.0</v>
      </c>
      <c r="B18" s="15" t="s">
        <v>58</v>
      </c>
      <c r="C18" s="16"/>
      <c r="D18" s="14"/>
      <c r="E18" s="15"/>
      <c r="F18" s="15"/>
      <c r="G18" s="15"/>
      <c r="H18" s="17" t="str">
        <f t="shared" si="1"/>
        <v>#DIV/0!</v>
      </c>
      <c r="I18" s="14">
        <v>16.0</v>
      </c>
      <c r="J18" s="18" t="s">
        <v>59</v>
      </c>
      <c r="K18" s="16"/>
      <c r="L18" s="19">
        <v>10.0</v>
      </c>
      <c r="M18" s="15">
        <v>10.0</v>
      </c>
      <c r="N18" s="20">
        <v>9.0</v>
      </c>
      <c r="O18" s="20">
        <v>10.0</v>
      </c>
      <c r="P18" s="17">
        <f t="shared" si="2"/>
        <v>9.7</v>
      </c>
      <c r="Q18" s="21">
        <v>16.0</v>
      </c>
      <c r="R18" s="14" t="s">
        <v>60</v>
      </c>
      <c r="S18" s="23"/>
      <c r="T18" s="15"/>
      <c r="U18" s="15"/>
      <c r="V18" s="15"/>
      <c r="W18" s="20"/>
      <c r="X18" s="17" t="str">
        <f t="shared" si="3"/>
        <v>#DIV/0!</v>
      </c>
    </row>
    <row r="19">
      <c r="A19" s="17"/>
      <c r="B19" s="24"/>
      <c r="C19" s="14"/>
      <c r="D19" s="14"/>
      <c r="E19" s="15"/>
      <c r="F19" s="15"/>
      <c r="G19" s="15"/>
      <c r="H19" s="17" t="str">
        <f t="shared" si="1"/>
        <v>#DIV/0!</v>
      </c>
      <c r="I19" s="17"/>
      <c r="J19" s="24"/>
      <c r="K19" s="15"/>
      <c r="L19" s="15"/>
      <c r="M19" s="15"/>
      <c r="N19" s="15"/>
      <c r="O19" s="15"/>
      <c r="P19" s="17" t="str">
        <f>+(AVERAGE(P9:P18))</f>
        <v>#DIV/0!</v>
      </c>
      <c r="Q19" s="21">
        <v>17.0</v>
      </c>
      <c r="R19" s="14" t="s">
        <v>61</v>
      </c>
      <c r="S19" s="23"/>
      <c r="T19" s="20">
        <v>10.0</v>
      </c>
      <c r="U19" s="15">
        <v>10.0</v>
      </c>
      <c r="V19" s="20">
        <v>10.0</v>
      </c>
      <c r="W19" s="20">
        <v>10.0</v>
      </c>
      <c r="X19" s="17">
        <f t="shared" si="3"/>
        <v>10</v>
      </c>
    </row>
    <row r="20">
      <c r="A20" s="25"/>
      <c r="B20" s="26"/>
      <c r="C20" s="27"/>
      <c r="D20" s="27"/>
      <c r="E20" s="27"/>
      <c r="F20" s="27"/>
      <c r="G20" s="27"/>
      <c r="H20" s="17" t="str">
        <f t="shared" si="1"/>
        <v>#DIV/0!</v>
      </c>
      <c r="I20" s="25"/>
      <c r="J20" s="26"/>
      <c r="K20" s="28"/>
      <c r="L20" s="28"/>
      <c r="M20" s="28"/>
      <c r="N20" s="28"/>
      <c r="O20" s="28"/>
      <c r="P20" s="17" t="str">
        <f t="shared" ref="P20:P34" si="4">+(AVERAGE(K20,L20)*0.3)+(M20*0.1)+(N20*0.3)+(O20*0.3)</f>
        <v>#DIV/0!</v>
      </c>
      <c r="Q20" s="21">
        <v>18.0</v>
      </c>
      <c r="R20" s="14" t="s">
        <v>62</v>
      </c>
      <c r="S20" s="23"/>
      <c r="T20" s="15">
        <v>8.0</v>
      </c>
      <c r="U20" s="15">
        <v>10.0</v>
      </c>
      <c r="V20" s="20">
        <v>9.5</v>
      </c>
      <c r="W20" s="20">
        <v>10.0</v>
      </c>
      <c r="X20" s="17">
        <f t="shared" si="3"/>
        <v>9.25</v>
      </c>
    </row>
    <row r="21" ht="15.75" customHeight="1">
      <c r="A21" s="14">
        <v>1.0</v>
      </c>
      <c r="B21" s="18" t="s">
        <v>63</v>
      </c>
      <c r="C21" s="16"/>
      <c r="D21" s="14"/>
      <c r="E21" s="15"/>
      <c r="F21" s="15"/>
      <c r="G21" s="15"/>
      <c r="H21" s="17" t="str">
        <f t="shared" si="1"/>
        <v>#DIV/0!</v>
      </c>
      <c r="I21" s="21">
        <v>1.0</v>
      </c>
      <c r="J21" s="18" t="s">
        <v>64</v>
      </c>
      <c r="K21" s="16"/>
      <c r="L21" s="19">
        <v>10.0</v>
      </c>
      <c r="M21" s="15">
        <v>10.0</v>
      </c>
      <c r="N21" s="20">
        <v>10.0</v>
      </c>
      <c r="O21" s="20">
        <v>5.0</v>
      </c>
      <c r="P21" s="17">
        <f t="shared" si="4"/>
        <v>8.5</v>
      </c>
      <c r="Q21" s="17"/>
      <c r="R21" s="24"/>
      <c r="S21" s="15"/>
      <c r="T21" s="15"/>
      <c r="U21" s="15"/>
      <c r="V21" s="29"/>
      <c r="W21" s="15"/>
      <c r="X21" s="17" t="str">
        <f t="shared" si="3"/>
        <v>#DIV/0!</v>
      </c>
    </row>
    <row r="22" ht="15.75" customHeight="1">
      <c r="A22" s="14">
        <v>2.0</v>
      </c>
      <c r="B22" s="18" t="s">
        <v>65</v>
      </c>
      <c r="C22" s="16"/>
      <c r="D22" s="14"/>
      <c r="E22" s="15"/>
      <c r="F22" s="15"/>
      <c r="G22" s="15"/>
      <c r="H22" s="17" t="str">
        <f t="shared" si="1"/>
        <v>#DIV/0!</v>
      </c>
      <c r="I22" s="21">
        <v>2.0</v>
      </c>
      <c r="J22" s="18" t="s">
        <v>66</v>
      </c>
      <c r="K22" s="16"/>
      <c r="L22" s="19">
        <v>9.7</v>
      </c>
      <c r="M22" s="15">
        <v>10.0</v>
      </c>
      <c r="N22" s="20">
        <v>5.0</v>
      </c>
      <c r="O22" s="20">
        <v>5.0</v>
      </c>
      <c r="P22" s="17">
        <f t="shared" si="4"/>
        <v>6.91</v>
      </c>
      <c r="Q22" s="17"/>
      <c r="R22" s="14"/>
      <c r="S22" s="15"/>
      <c r="T22" s="15"/>
      <c r="U22" s="15"/>
      <c r="V22" s="29"/>
      <c r="W22" s="15"/>
      <c r="X22" s="17" t="str">
        <f t="shared" si="3"/>
        <v>#DIV/0!</v>
      </c>
    </row>
    <row r="23" ht="15.75" customHeight="1">
      <c r="A23" s="14">
        <v>3.0</v>
      </c>
      <c r="B23" s="18" t="s">
        <v>67</v>
      </c>
      <c r="C23" s="16"/>
      <c r="D23" s="14"/>
      <c r="E23" s="15"/>
      <c r="F23" s="15"/>
      <c r="G23" s="15"/>
      <c r="H23" s="17" t="str">
        <f t="shared" si="1"/>
        <v>#DIV/0!</v>
      </c>
      <c r="I23" s="21">
        <v>3.0</v>
      </c>
      <c r="J23" s="18" t="s">
        <v>68</v>
      </c>
      <c r="K23" s="16"/>
      <c r="L23" s="19">
        <v>9.8</v>
      </c>
      <c r="M23" s="15">
        <v>10.0</v>
      </c>
      <c r="N23" s="20">
        <v>9.0</v>
      </c>
      <c r="O23" s="20">
        <v>5.0</v>
      </c>
      <c r="P23" s="17">
        <f t="shared" si="4"/>
        <v>8.14</v>
      </c>
      <c r="Q23" s="17"/>
      <c r="R23" s="14"/>
      <c r="S23" s="15"/>
      <c r="T23" s="15"/>
      <c r="U23" s="15"/>
      <c r="V23" s="29"/>
      <c r="W23" s="15"/>
      <c r="X23" s="17" t="str">
        <f t="shared" si="3"/>
        <v>#DIV/0!</v>
      </c>
    </row>
    <row r="24" ht="15.75" customHeight="1">
      <c r="A24" s="14">
        <v>4.0</v>
      </c>
      <c r="B24" s="15" t="s">
        <v>69</v>
      </c>
      <c r="C24" s="23"/>
      <c r="D24" s="15"/>
      <c r="E24" s="15"/>
      <c r="F24" s="15"/>
      <c r="G24" s="15"/>
      <c r="H24" s="17" t="str">
        <f t="shared" si="1"/>
        <v>#DIV/0!</v>
      </c>
      <c r="I24" s="21">
        <v>4.0</v>
      </c>
      <c r="J24" s="18" t="s">
        <v>70</v>
      </c>
      <c r="K24" s="16"/>
      <c r="L24" s="14">
        <v>9.3</v>
      </c>
      <c r="M24" s="15">
        <v>10.0</v>
      </c>
      <c r="N24" s="20">
        <v>8.3</v>
      </c>
      <c r="O24" s="20">
        <v>5.0</v>
      </c>
      <c r="P24" s="17">
        <f t="shared" si="4"/>
        <v>7.78</v>
      </c>
      <c r="Q24" s="17"/>
      <c r="R24" s="14"/>
      <c r="S24" s="15"/>
      <c r="T24" s="15"/>
      <c r="U24" s="15"/>
      <c r="V24" s="29"/>
      <c r="W24" s="15"/>
      <c r="X24" s="17" t="str">
        <f t="shared" si="3"/>
        <v>#DIV/0!</v>
      </c>
    </row>
    <row r="25" ht="15.75" customHeight="1">
      <c r="A25" s="14">
        <v>5.0</v>
      </c>
      <c r="B25" s="18" t="s">
        <v>71</v>
      </c>
      <c r="C25" s="23"/>
      <c r="D25" s="15"/>
      <c r="E25" s="15"/>
      <c r="F25" s="15"/>
      <c r="G25" s="15"/>
      <c r="H25" s="17" t="str">
        <f t="shared" si="1"/>
        <v>#DIV/0!</v>
      </c>
      <c r="I25" s="21">
        <v>5.0</v>
      </c>
      <c r="J25" s="18" t="s">
        <v>72</v>
      </c>
      <c r="K25" s="16"/>
      <c r="L25" s="19">
        <v>8.3</v>
      </c>
      <c r="M25" s="15">
        <v>10.0</v>
      </c>
      <c r="N25" s="20">
        <v>10.0</v>
      </c>
      <c r="O25" s="20">
        <v>5.0</v>
      </c>
      <c r="P25" s="17">
        <f t="shared" si="4"/>
        <v>7.99</v>
      </c>
      <c r="Q25" s="17"/>
      <c r="R25" s="14"/>
      <c r="S25" s="15"/>
      <c r="T25" s="15"/>
      <c r="U25" s="15"/>
      <c r="V25" s="29"/>
      <c r="W25" s="15"/>
      <c r="X25" s="17" t="str">
        <f t="shared" si="3"/>
        <v>#DIV/0!</v>
      </c>
    </row>
    <row r="26" ht="15.75" customHeight="1">
      <c r="A26" s="14">
        <v>6.0</v>
      </c>
      <c r="B26" s="18" t="s">
        <v>73</v>
      </c>
      <c r="C26" s="23"/>
      <c r="D26" s="15"/>
      <c r="E26" s="15"/>
      <c r="F26" s="15"/>
      <c r="G26" s="15"/>
      <c r="H26" s="17" t="str">
        <f t="shared" si="1"/>
        <v>#DIV/0!</v>
      </c>
      <c r="I26" s="21">
        <v>6.0</v>
      </c>
      <c r="J26" s="18" t="s">
        <v>74</v>
      </c>
      <c r="K26" s="16"/>
      <c r="L26" s="14">
        <v>8.0</v>
      </c>
      <c r="M26" s="15">
        <v>10.0</v>
      </c>
      <c r="N26" s="20">
        <v>10.0</v>
      </c>
      <c r="O26" s="20">
        <v>10.0</v>
      </c>
      <c r="P26" s="17">
        <f t="shared" si="4"/>
        <v>9.4</v>
      </c>
      <c r="Q26" s="17"/>
      <c r="R26" s="14"/>
      <c r="S26" s="15"/>
      <c r="T26" s="15"/>
      <c r="U26" s="15"/>
      <c r="V26" s="29"/>
      <c r="W26" s="15"/>
      <c r="X26" s="17" t="str">
        <f t="shared" si="3"/>
        <v>#DIV/0!</v>
      </c>
    </row>
    <row r="27" ht="15.75" customHeight="1">
      <c r="A27" s="14">
        <v>7.0</v>
      </c>
      <c r="B27" s="18" t="s">
        <v>75</v>
      </c>
      <c r="C27" s="23"/>
      <c r="D27" s="15"/>
      <c r="E27" s="15"/>
      <c r="F27" s="15"/>
      <c r="G27" s="15"/>
      <c r="H27" s="17" t="str">
        <f t="shared" si="1"/>
        <v>#DIV/0!</v>
      </c>
      <c r="I27" s="21">
        <v>7.0</v>
      </c>
      <c r="J27" s="18" t="s">
        <v>76</v>
      </c>
      <c r="K27" s="16"/>
      <c r="L27" s="14">
        <v>10.0</v>
      </c>
      <c r="M27" s="15">
        <v>10.0</v>
      </c>
      <c r="N27" s="20">
        <v>8.0</v>
      </c>
      <c r="O27" s="20">
        <v>5.0</v>
      </c>
      <c r="P27" s="17">
        <f t="shared" si="4"/>
        <v>7.9</v>
      </c>
      <c r="Q27" s="17"/>
      <c r="R27" s="14"/>
      <c r="S27" s="15"/>
      <c r="T27" s="15"/>
      <c r="U27" s="15"/>
      <c r="V27" s="29"/>
      <c r="W27" s="15"/>
      <c r="X27" s="17" t="str">
        <f t="shared" si="3"/>
        <v>#DIV/0!</v>
      </c>
    </row>
    <row r="28" ht="15.75" customHeight="1">
      <c r="A28" s="14">
        <v>8.0</v>
      </c>
      <c r="B28" s="15" t="s">
        <v>77</v>
      </c>
      <c r="C28" s="23"/>
      <c r="D28" s="15"/>
      <c r="E28" s="15"/>
      <c r="F28" s="15"/>
      <c r="G28" s="15"/>
      <c r="H28" s="17" t="str">
        <f t="shared" si="1"/>
        <v>#DIV/0!</v>
      </c>
      <c r="I28" s="21">
        <v>8.0</v>
      </c>
      <c r="J28" s="18" t="s">
        <v>78</v>
      </c>
      <c r="K28" s="16"/>
      <c r="L28" s="19">
        <v>9.9</v>
      </c>
      <c r="M28" s="15">
        <v>10.0</v>
      </c>
      <c r="N28" s="20">
        <v>10.0</v>
      </c>
      <c r="O28" s="20">
        <v>5.0</v>
      </c>
      <c r="P28" s="17">
        <f t="shared" si="4"/>
        <v>8.47</v>
      </c>
      <c r="Q28" s="17"/>
      <c r="R28" s="14"/>
      <c r="S28" s="15"/>
      <c r="T28" s="15"/>
      <c r="U28" s="15"/>
      <c r="V28" s="29"/>
      <c r="W28" s="15"/>
      <c r="X28" s="17" t="str">
        <f t="shared" si="3"/>
        <v>#DIV/0!</v>
      </c>
    </row>
    <row r="29" ht="15.75" customHeight="1">
      <c r="A29" s="14">
        <v>9.0</v>
      </c>
      <c r="B29" s="18" t="s">
        <v>79</v>
      </c>
      <c r="C29" s="23"/>
      <c r="D29" s="15"/>
      <c r="E29" s="15"/>
      <c r="F29" s="15"/>
      <c r="G29" s="15"/>
      <c r="H29" s="17" t="str">
        <f t="shared" si="1"/>
        <v>#DIV/0!</v>
      </c>
      <c r="I29" s="21">
        <v>9.0</v>
      </c>
      <c r="J29" s="18" t="s">
        <v>80</v>
      </c>
      <c r="K29" s="16"/>
      <c r="L29" s="19">
        <v>8.3</v>
      </c>
      <c r="M29" s="23">
        <v>10.0</v>
      </c>
      <c r="N29" s="30">
        <v>7.5</v>
      </c>
      <c r="O29" s="30">
        <v>5.0</v>
      </c>
      <c r="P29" s="17">
        <f t="shared" si="4"/>
        <v>7.24</v>
      </c>
      <c r="Q29" s="17"/>
      <c r="R29" s="14"/>
      <c r="S29" s="15"/>
      <c r="T29" s="15"/>
      <c r="U29" s="15"/>
      <c r="V29" s="29"/>
      <c r="W29" s="15"/>
      <c r="X29" s="17" t="str">
        <f t="shared" si="3"/>
        <v>#DIV/0!</v>
      </c>
    </row>
    <row r="30" ht="15.75" customHeight="1">
      <c r="A30" s="14">
        <v>10.0</v>
      </c>
      <c r="B30" s="18" t="s">
        <v>81</v>
      </c>
      <c r="C30" s="23"/>
      <c r="D30" s="15"/>
      <c r="E30" s="15"/>
      <c r="F30" s="15"/>
      <c r="G30" s="15"/>
      <c r="H30" s="17" t="str">
        <f t="shared" si="1"/>
        <v>#DIV/0!</v>
      </c>
      <c r="I30" s="21">
        <v>10.0</v>
      </c>
      <c r="J30" s="18" t="s">
        <v>82</v>
      </c>
      <c r="K30" s="16"/>
      <c r="L30" s="14">
        <v>10.0</v>
      </c>
      <c r="M30" s="15">
        <v>10.0</v>
      </c>
      <c r="N30" s="20">
        <v>9.5</v>
      </c>
      <c r="O30" s="20">
        <v>5.0</v>
      </c>
      <c r="P30" s="17">
        <f t="shared" si="4"/>
        <v>8.35</v>
      </c>
      <c r="Q30" s="17"/>
      <c r="R30" s="15"/>
      <c r="S30" s="15"/>
      <c r="T30" s="15"/>
      <c r="U30" s="15"/>
      <c r="V30" s="29"/>
      <c r="W30" s="15"/>
      <c r="X30" s="17" t="str">
        <f t="shared" si="3"/>
        <v>#DIV/0!</v>
      </c>
    </row>
    <row r="31" ht="15.75" customHeight="1">
      <c r="A31" s="14">
        <v>11.0</v>
      </c>
      <c r="B31" s="18" t="s">
        <v>83</v>
      </c>
      <c r="C31" s="23"/>
      <c r="D31" s="15"/>
      <c r="E31" s="15"/>
      <c r="F31" s="15"/>
      <c r="G31" s="15"/>
      <c r="H31" s="17" t="str">
        <f t="shared" si="1"/>
        <v>#DIV/0!</v>
      </c>
      <c r="I31" s="21">
        <v>11.0</v>
      </c>
      <c r="J31" s="18" t="s">
        <v>84</v>
      </c>
      <c r="K31" s="16"/>
      <c r="L31" s="19">
        <v>10.0</v>
      </c>
      <c r="M31" s="23">
        <v>10.0</v>
      </c>
      <c r="N31" s="23">
        <v>6.0</v>
      </c>
      <c r="O31" s="30">
        <v>5.0</v>
      </c>
      <c r="P31" s="17">
        <f t="shared" si="4"/>
        <v>7.3</v>
      </c>
      <c r="Q31" s="17"/>
      <c r="R31" s="15"/>
      <c r="S31" s="15"/>
      <c r="T31" s="15"/>
      <c r="U31" s="15"/>
      <c r="V31" s="29"/>
      <c r="W31" s="15"/>
      <c r="X31" s="17" t="str">
        <f t="shared" si="3"/>
        <v>#DIV/0!</v>
      </c>
    </row>
    <row r="32" ht="15.75" customHeight="1">
      <c r="A32" s="14">
        <v>12.0</v>
      </c>
      <c r="B32" s="18" t="s">
        <v>85</v>
      </c>
      <c r="C32" s="23"/>
      <c r="D32" s="15"/>
      <c r="E32" s="15"/>
      <c r="F32" s="15"/>
      <c r="G32" s="15"/>
      <c r="H32" s="17" t="str">
        <f t="shared" si="1"/>
        <v>#DIV/0!</v>
      </c>
      <c r="I32" s="21">
        <v>12.0</v>
      </c>
      <c r="J32" s="18" t="s">
        <v>86</v>
      </c>
      <c r="K32" s="16"/>
      <c r="L32" s="19">
        <v>8.0</v>
      </c>
      <c r="M32" s="15">
        <v>10.0</v>
      </c>
      <c r="N32" s="20">
        <v>8.0</v>
      </c>
      <c r="O32" s="20">
        <v>5.0</v>
      </c>
      <c r="P32" s="17">
        <f t="shared" si="4"/>
        <v>7.3</v>
      </c>
      <c r="Q32" s="17"/>
      <c r="R32" s="15"/>
      <c r="S32" s="15"/>
      <c r="T32" s="15"/>
      <c r="U32" s="15"/>
      <c r="V32" s="29"/>
      <c r="W32" s="15"/>
      <c r="X32" s="17" t="str">
        <f t="shared" si="3"/>
        <v>#DIV/0!</v>
      </c>
    </row>
    <row r="33" ht="15.75" customHeight="1">
      <c r="A33" s="14">
        <v>13.0</v>
      </c>
      <c r="B33" s="18" t="s">
        <v>87</v>
      </c>
      <c r="C33" s="23"/>
      <c r="D33" s="15"/>
      <c r="E33" s="15"/>
      <c r="F33" s="15"/>
      <c r="G33" s="15"/>
      <c r="H33" s="17" t="str">
        <f t="shared" si="1"/>
        <v>#DIV/0!</v>
      </c>
      <c r="I33" s="21">
        <v>13.0</v>
      </c>
      <c r="J33" s="18" t="s">
        <v>88</v>
      </c>
      <c r="K33" s="16"/>
      <c r="L33" s="19">
        <v>10.0</v>
      </c>
      <c r="M33" s="15">
        <v>10.0</v>
      </c>
      <c r="N33" s="20">
        <v>8.0</v>
      </c>
      <c r="O33" s="20">
        <v>10.0</v>
      </c>
      <c r="P33" s="17">
        <f t="shared" si="4"/>
        <v>9.4</v>
      </c>
      <c r="Q33" s="17"/>
      <c r="R33" s="15"/>
      <c r="S33" s="15"/>
      <c r="T33" s="15"/>
      <c r="U33" s="15"/>
      <c r="V33" s="29"/>
      <c r="W33" s="15"/>
      <c r="X33" s="17" t="str">
        <f t="shared" si="3"/>
        <v>#DIV/0!</v>
      </c>
    </row>
    <row r="34" ht="15.75" customHeight="1">
      <c r="A34" s="14">
        <v>14.0</v>
      </c>
      <c r="B34" s="18" t="s">
        <v>89</v>
      </c>
      <c r="C34" s="23"/>
      <c r="D34" s="15"/>
      <c r="E34" s="15"/>
      <c r="F34" s="15"/>
      <c r="G34" s="15"/>
      <c r="H34" s="17" t="str">
        <f t="shared" si="1"/>
        <v>#DIV/0!</v>
      </c>
      <c r="I34" s="31">
        <v>14.0</v>
      </c>
      <c r="J34" s="18" t="s">
        <v>90</v>
      </c>
      <c r="K34" s="16"/>
      <c r="L34" s="14">
        <v>9.5</v>
      </c>
      <c r="M34" s="15">
        <v>10.0</v>
      </c>
      <c r="N34" s="20">
        <v>5.0</v>
      </c>
      <c r="O34" s="20">
        <v>5.0</v>
      </c>
      <c r="P34" s="17">
        <f t="shared" si="4"/>
        <v>6.85</v>
      </c>
      <c r="Q34" s="32"/>
      <c r="R34" s="33"/>
      <c r="S34" s="15"/>
      <c r="T34" s="15"/>
      <c r="U34" s="15"/>
      <c r="V34" s="29"/>
      <c r="W34" s="15"/>
      <c r="X34" s="17" t="str">
        <f t="shared" si="3"/>
        <v>#DIV/0!</v>
      </c>
    </row>
    <row r="35" ht="15.75" customHeight="1">
      <c r="A35" s="14">
        <v>15.0</v>
      </c>
      <c r="B35" s="34"/>
      <c r="C35" s="23"/>
      <c r="D35" s="15"/>
      <c r="E35" s="15"/>
      <c r="F35" s="15"/>
      <c r="G35" s="15"/>
      <c r="H35" s="17" t="str">
        <f t="shared" si="1"/>
        <v>#DIV/0!</v>
      </c>
      <c r="I35" s="17"/>
      <c r="J35" s="24"/>
      <c r="K35" s="14"/>
      <c r="L35" s="14"/>
      <c r="M35" s="15"/>
      <c r="N35" s="15"/>
      <c r="O35" s="20"/>
      <c r="P35" s="17">
        <f>AVERAGE(P27:P34)</f>
        <v>7.85125</v>
      </c>
      <c r="Q35" s="17"/>
      <c r="R35" s="14"/>
      <c r="S35" s="23"/>
      <c r="T35" s="15"/>
      <c r="U35" s="15"/>
      <c r="V35" s="29"/>
      <c r="W35" s="15"/>
      <c r="X35" s="17" t="str">
        <f t="shared" si="3"/>
        <v>#DIV/0!</v>
      </c>
    </row>
    <row r="36" ht="15.75" customHeight="1">
      <c r="A36" s="14"/>
      <c r="B36" s="15"/>
      <c r="C36" s="23"/>
      <c r="D36" s="15"/>
      <c r="E36" s="15"/>
      <c r="F36" s="15"/>
      <c r="G36" s="15"/>
      <c r="H36" s="17" t="str">
        <f t="shared" si="1"/>
        <v>#DIV/0!</v>
      </c>
      <c r="I36" s="17"/>
      <c r="J36" s="14"/>
      <c r="K36" s="15"/>
      <c r="L36" s="15"/>
      <c r="M36" s="15"/>
      <c r="N36" s="15"/>
      <c r="O36" s="20"/>
      <c r="P36" s="17" t="str">
        <f t="shared" ref="P36:P40" si="5">+(AVERAGE(K36,L36)*0.3)+(M36*0.1)+(N36*0.3)+(O36*0.3)</f>
        <v>#DIV/0!</v>
      </c>
      <c r="Q36" s="17"/>
      <c r="R36" s="14"/>
      <c r="S36" s="23"/>
      <c r="T36" s="15"/>
      <c r="U36" s="15"/>
      <c r="V36" s="29"/>
      <c r="W36" s="15"/>
      <c r="X36" s="17" t="str">
        <f t="shared" si="3"/>
        <v>#DIV/0!</v>
      </c>
    </row>
    <row r="37" ht="15.75" customHeight="1">
      <c r="A37" s="14"/>
      <c r="B37" s="15"/>
      <c r="C37" s="23"/>
      <c r="D37" s="15"/>
      <c r="E37" s="15"/>
      <c r="F37" s="15"/>
      <c r="G37" s="15"/>
      <c r="H37" s="17" t="str">
        <f t="shared" si="1"/>
        <v>#DIV/0!</v>
      </c>
      <c r="I37" s="17"/>
      <c r="J37" s="14"/>
      <c r="K37" s="15"/>
      <c r="L37" s="15"/>
      <c r="M37" s="15"/>
      <c r="N37" s="15"/>
      <c r="O37" s="15"/>
      <c r="P37" s="17" t="str">
        <f t="shared" si="5"/>
        <v>#DIV/0!</v>
      </c>
      <c r="Q37" s="17"/>
      <c r="R37" s="14"/>
      <c r="S37" s="23"/>
      <c r="T37" s="15"/>
      <c r="U37" s="15"/>
      <c r="V37" s="29"/>
      <c r="W37" s="15"/>
      <c r="X37" s="17" t="str">
        <f t="shared" si="3"/>
        <v>#DIV/0!</v>
      </c>
    </row>
    <row r="38" ht="15.75" customHeight="1">
      <c r="A38" s="14"/>
      <c r="B38" s="15"/>
      <c r="C38" s="23"/>
      <c r="D38" s="15"/>
      <c r="E38" s="15"/>
      <c r="F38" s="15"/>
      <c r="G38" s="15"/>
      <c r="H38" s="17" t="str">
        <f t="shared" si="1"/>
        <v>#DIV/0!</v>
      </c>
      <c r="I38" s="17"/>
      <c r="J38" s="14"/>
      <c r="K38" s="15"/>
      <c r="L38" s="15"/>
      <c r="M38" s="15"/>
      <c r="N38" s="15"/>
      <c r="O38" s="15"/>
      <c r="P38" s="17" t="str">
        <f t="shared" si="5"/>
        <v>#DIV/0!</v>
      </c>
      <c r="Q38" s="17"/>
      <c r="R38" s="14"/>
      <c r="S38" s="23"/>
      <c r="T38" s="15"/>
      <c r="U38" s="15"/>
      <c r="V38" s="29"/>
      <c r="W38" s="15"/>
      <c r="X38" s="35"/>
    </row>
    <row r="39" ht="15.75" customHeight="1">
      <c r="P39" s="17" t="str">
        <f t="shared" si="5"/>
        <v>#DIV/0!</v>
      </c>
      <c r="V39" s="36"/>
    </row>
    <row r="40" ht="15.75" customHeight="1">
      <c r="P40" s="17" t="str">
        <f t="shared" si="5"/>
        <v>#DIV/0!</v>
      </c>
      <c r="V40" s="36"/>
    </row>
    <row r="41" ht="15.75" customHeight="1">
      <c r="V41" s="36"/>
    </row>
    <row r="42" ht="15.75" customHeight="1">
      <c r="V42" s="36"/>
    </row>
    <row r="43" ht="15.75" customHeight="1">
      <c r="V43" s="36"/>
    </row>
    <row r="44" ht="15.75" customHeight="1">
      <c r="V44" s="36"/>
    </row>
    <row r="45" ht="15.75" customHeight="1">
      <c r="V45" s="36"/>
    </row>
    <row r="46" ht="15.75" customHeight="1">
      <c r="V46" s="36"/>
    </row>
    <row r="47" ht="15.75" customHeight="1">
      <c r="V47" s="36"/>
    </row>
    <row r="48" ht="15.75" customHeight="1">
      <c r="V48" s="36"/>
    </row>
    <row r="49" ht="15.75" customHeight="1">
      <c r="V49" s="36"/>
    </row>
    <row r="50" ht="15.75" customHeight="1">
      <c r="V50" s="36"/>
    </row>
    <row r="51" ht="15.75" customHeight="1">
      <c r="V51" s="36"/>
    </row>
    <row r="52" ht="15.75" customHeight="1">
      <c r="V52" s="36"/>
    </row>
    <row r="53" ht="15.75" customHeight="1">
      <c r="V53" s="36"/>
    </row>
    <row r="54" ht="15.75" customHeight="1">
      <c r="V54" s="36"/>
    </row>
    <row r="55" ht="15.75" customHeight="1">
      <c r="V55" s="36"/>
    </row>
    <row r="56" ht="15.75" customHeight="1">
      <c r="V56" s="36"/>
    </row>
    <row r="57" ht="15.75" customHeight="1">
      <c r="V57" s="36"/>
    </row>
    <row r="58" ht="15.75" customHeight="1">
      <c r="V58" s="36"/>
    </row>
    <row r="59" ht="15.75" customHeight="1">
      <c r="V59" s="36"/>
    </row>
    <row r="60" ht="15.75" customHeight="1">
      <c r="V60" s="36"/>
    </row>
    <row r="61" ht="15.75" customHeight="1">
      <c r="V61" s="36"/>
    </row>
    <row r="62" ht="15.75" customHeight="1">
      <c r="V62" s="36"/>
    </row>
    <row r="63" ht="15.75" customHeight="1">
      <c r="V63" s="36"/>
    </row>
    <row r="64" ht="15.75" customHeight="1">
      <c r="V64" s="36"/>
    </row>
    <row r="65" ht="15.75" customHeight="1">
      <c r="V65" s="36"/>
    </row>
    <row r="66" ht="15.75" customHeight="1">
      <c r="V66" s="36"/>
    </row>
    <row r="67" ht="15.75" customHeight="1">
      <c r="V67" s="36"/>
    </row>
    <row r="68" ht="15.75" customHeight="1">
      <c r="V68" s="36"/>
    </row>
    <row r="69" ht="15.75" customHeight="1">
      <c r="V69" s="36"/>
    </row>
    <row r="70" ht="15.75" customHeight="1">
      <c r="V70" s="36"/>
    </row>
    <row r="71" ht="15.75" customHeight="1">
      <c r="V71" s="36"/>
    </row>
    <row r="72" ht="15.75" customHeight="1">
      <c r="V72" s="36"/>
    </row>
    <row r="73" ht="15.75" customHeight="1">
      <c r="V73" s="36"/>
    </row>
    <row r="74" ht="15.75" customHeight="1">
      <c r="V74" s="36"/>
    </row>
    <row r="75" ht="15.75" customHeight="1">
      <c r="V75" s="36"/>
    </row>
    <row r="76" ht="15.75" customHeight="1">
      <c r="V76" s="36"/>
    </row>
    <row r="77" ht="15.75" customHeight="1">
      <c r="V77" s="36"/>
    </row>
    <row r="78" ht="15.75" customHeight="1">
      <c r="V78" s="36"/>
    </row>
    <row r="79" ht="15.75" customHeight="1">
      <c r="V79" s="36"/>
    </row>
    <row r="80" ht="15.75" customHeight="1">
      <c r="V80" s="36"/>
    </row>
    <row r="81" ht="15.75" customHeight="1">
      <c r="V81" s="36"/>
    </row>
    <row r="82" ht="15.75" customHeight="1">
      <c r="V82" s="36"/>
    </row>
    <row r="83" ht="15.75" customHeight="1">
      <c r="V83" s="36"/>
    </row>
    <row r="84" ht="15.75" customHeight="1">
      <c r="V84" s="36"/>
    </row>
    <row r="85" ht="15.75" customHeight="1">
      <c r="V85" s="36"/>
    </row>
    <row r="86" ht="15.75" customHeight="1">
      <c r="V86" s="36"/>
    </row>
    <row r="87" ht="15.75" customHeight="1">
      <c r="V87" s="36"/>
    </row>
    <row r="88" ht="15.75" customHeight="1">
      <c r="V88" s="36"/>
    </row>
    <row r="89" ht="15.75" customHeight="1">
      <c r="V89" s="36"/>
    </row>
    <row r="90" ht="15.75" customHeight="1">
      <c r="V90" s="36"/>
    </row>
    <row r="91" ht="15.75" customHeight="1">
      <c r="V91" s="36"/>
    </row>
    <row r="92" ht="15.75" customHeight="1">
      <c r="V92" s="36"/>
    </row>
    <row r="93" ht="15.75" customHeight="1">
      <c r="V93" s="36"/>
    </row>
    <row r="94" ht="15.75" customHeight="1">
      <c r="V94" s="36"/>
    </row>
    <row r="95" ht="15.75" customHeight="1">
      <c r="V95" s="36"/>
    </row>
    <row r="96" ht="15.75" customHeight="1">
      <c r="V96" s="36"/>
    </row>
    <row r="97" ht="15.75" customHeight="1">
      <c r="V97" s="36"/>
    </row>
    <row r="98" ht="15.75" customHeight="1">
      <c r="V98" s="36"/>
    </row>
    <row r="99" ht="15.75" customHeight="1">
      <c r="V99" s="36"/>
    </row>
    <row r="100" ht="15.75" customHeight="1">
      <c r="V100" s="36"/>
    </row>
    <row r="101" ht="15.75" customHeight="1">
      <c r="V101" s="36"/>
    </row>
    <row r="102" ht="15.75" customHeight="1">
      <c r="V102" s="36"/>
    </row>
    <row r="103" ht="15.75" customHeight="1">
      <c r="V103" s="36"/>
    </row>
    <row r="104" ht="15.75" customHeight="1">
      <c r="V104" s="36"/>
    </row>
    <row r="105" ht="15.75" customHeight="1">
      <c r="V105" s="36"/>
    </row>
    <row r="106" ht="15.75" customHeight="1">
      <c r="V106" s="36"/>
    </row>
    <row r="107" ht="15.75" customHeight="1">
      <c r="V107" s="36"/>
    </row>
    <row r="108" ht="15.75" customHeight="1">
      <c r="V108" s="36"/>
    </row>
    <row r="109" ht="15.75" customHeight="1">
      <c r="V109" s="36"/>
    </row>
    <row r="110" ht="15.75" customHeight="1">
      <c r="V110" s="36"/>
    </row>
    <row r="111" ht="15.75" customHeight="1">
      <c r="V111" s="36"/>
    </row>
    <row r="112" ht="15.75" customHeight="1">
      <c r="V112" s="36"/>
    </row>
    <row r="113" ht="15.75" customHeight="1">
      <c r="V113" s="36"/>
    </row>
    <row r="114" ht="15.75" customHeight="1">
      <c r="V114" s="36"/>
    </row>
    <row r="115" ht="15.75" customHeight="1">
      <c r="V115" s="36"/>
    </row>
    <row r="116" ht="15.75" customHeight="1">
      <c r="V116" s="36"/>
    </row>
    <row r="117" ht="15.75" customHeight="1">
      <c r="V117" s="36"/>
    </row>
    <row r="118" ht="15.75" customHeight="1">
      <c r="V118" s="36"/>
    </row>
    <row r="119" ht="15.75" customHeight="1">
      <c r="V119" s="36"/>
    </row>
    <row r="120" ht="15.75" customHeight="1">
      <c r="V120" s="36"/>
    </row>
    <row r="121" ht="15.75" customHeight="1">
      <c r="V121" s="36"/>
    </row>
    <row r="122" ht="15.75" customHeight="1">
      <c r="V122" s="36"/>
    </row>
    <row r="123" ht="15.75" customHeight="1">
      <c r="V123" s="36"/>
    </row>
    <row r="124" ht="15.75" customHeight="1">
      <c r="V124" s="36"/>
    </row>
    <row r="125" ht="15.75" customHeight="1">
      <c r="V125" s="36"/>
    </row>
    <row r="126" ht="15.75" customHeight="1">
      <c r="V126" s="36"/>
    </row>
    <row r="127" ht="15.75" customHeight="1">
      <c r="V127" s="36"/>
    </row>
    <row r="128" ht="15.75" customHeight="1">
      <c r="V128" s="36"/>
    </row>
    <row r="129" ht="15.75" customHeight="1">
      <c r="V129" s="36"/>
    </row>
    <row r="130" ht="15.75" customHeight="1">
      <c r="V130" s="36"/>
    </row>
    <row r="131" ht="15.75" customHeight="1">
      <c r="V131" s="36"/>
    </row>
    <row r="132" ht="15.75" customHeight="1">
      <c r="V132" s="36"/>
    </row>
    <row r="133" ht="15.75" customHeight="1">
      <c r="V133" s="36"/>
    </row>
    <row r="134" ht="15.75" customHeight="1">
      <c r="V134" s="36"/>
    </row>
    <row r="135" ht="15.75" customHeight="1">
      <c r="V135" s="36"/>
    </row>
    <row r="136" ht="15.75" customHeight="1">
      <c r="V136" s="36"/>
    </row>
    <row r="137" ht="15.75" customHeight="1">
      <c r="V137" s="36"/>
    </row>
    <row r="138" ht="15.75" customHeight="1">
      <c r="V138" s="36"/>
    </row>
    <row r="139" ht="15.75" customHeight="1">
      <c r="V139" s="36"/>
    </row>
    <row r="140" ht="15.75" customHeight="1">
      <c r="V140" s="36"/>
    </row>
    <row r="141" ht="15.75" customHeight="1">
      <c r="V141" s="36"/>
    </row>
    <row r="142" ht="15.75" customHeight="1">
      <c r="V142" s="36"/>
    </row>
    <row r="143" ht="15.75" customHeight="1">
      <c r="V143" s="36"/>
    </row>
    <row r="144" ht="15.75" customHeight="1">
      <c r="V144" s="36"/>
    </row>
    <row r="145" ht="15.75" customHeight="1">
      <c r="V145" s="36"/>
    </row>
    <row r="146" ht="15.75" customHeight="1">
      <c r="V146" s="36"/>
    </row>
    <row r="147" ht="15.75" customHeight="1">
      <c r="V147" s="36"/>
    </row>
    <row r="148" ht="15.75" customHeight="1">
      <c r="V148" s="36"/>
    </row>
    <row r="149" ht="15.75" customHeight="1">
      <c r="V149" s="36"/>
    </row>
    <row r="150" ht="15.75" customHeight="1">
      <c r="V150" s="36"/>
    </row>
    <row r="151" ht="15.75" customHeight="1">
      <c r="V151" s="36"/>
    </row>
    <row r="152" ht="15.75" customHeight="1">
      <c r="V152" s="36"/>
    </row>
    <row r="153" ht="15.75" customHeight="1">
      <c r="V153" s="36"/>
    </row>
    <row r="154" ht="15.75" customHeight="1">
      <c r="V154" s="36"/>
    </row>
    <row r="155" ht="15.75" customHeight="1">
      <c r="V155" s="36"/>
    </row>
    <row r="156" ht="15.75" customHeight="1">
      <c r="V156" s="36"/>
    </row>
    <row r="157" ht="15.75" customHeight="1">
      <c r="V157" s="36"/>
    </row>
    <row r="158" ht="15.75" customHeight="1">
      <c r="V158" s="36"/>
    </row>
    <row r="159" ht="15.75" customHeight="1">
      <c r="V159" s="36"/>
    </row>
    <row r="160" ht="15.75" customHeight="1">
      <c r="V160" s="36"/>
    </row>
    <row r="161" ht="15.75" customHeight="1">
      <c r="V161" s="36"/>
    </row>
    <row r="162" ht="15.75" customHeight="1">
      <c r="V162" s="36"/>
    </row>
    <row r="163" ht="15.75" customHeight="1">
      <c r="V163" s="36"/>
    </row>
    <row r="164" ht="15.75" customHeight="1">
      <c r="V164" s="36"/>
    </row>
    <row r="165" ht="15.75" customHeight="1">
      <c r="V165" s="36"/>
    </row>
    <row r="166" ht="15.75" customHeight="1">
      <c r="V166" s="36"/>
    </row>
    <row r="167" ht="15.75" customHeight="1">
      <c r="V167" s="36"/>
    </row>
    <row r="168" ht="15.75" customHeight="1">
      <c r="V168" s="36"/>
    </row>
    <row r="169" ht="15.75" customHeight="1">
      <c r="V169" s="36"/>
    </row>
    <row r="170" ht="15.75" customHeight="1">
      <c r="V170" s="36"/>
    </row>
    <row r="171" ht="15.75" customHeight="1">
      <c r="V171" s="36"/>
    </row>
    <row r="172" ht="15.75" customHeight="1">
      <c r="V172" s="36"/>
    </row>
    <row r="173" ht="15.75" customHeight="1">
      <c r="V173" s="36"/>
    </row>
    <row r="174" ht="15.75" customHeight="1">
      <c r="V174" s="36"/>
    </row>
    <row r="175" ht="15.75" customHeight="1">
      <c r="V175" s="36"/>
    </row>
    <row r="176" ht="15.75" customHeight="1">
      <c r="V176" s="36"/>
    </row>
    <row r="177" ht="15.75" customHeight="1">
      <c r="V177" s="36"/>
    </row>
    <row r="178" ht="15.75" customHeight="1">
      <c r="V178" s="36"/>
    </row>
    <row r="179" ht="15.75" customHeight="1">
      <c r="V179" s="36"/>
    </row>
    <row r="180" ht="15.75" customHeight="1">
      <c r="V180" s="36"/>
    </row>
    <row r="181" ht="15.75" customHeight="1">
      <c r="V181" s="36"/>
    </row>
    <row r="182" ht="15.75" customHeight="1">
      <c r="V182" s="36"/>
    </row>
    <row r="183" ht="15.75" customHeight="1">
      <c r="V183" s="36"/>
    </row>
    <row r="184" ht="15.75" customHeight="1">
      <c r="V184" s="36"/>
    </row>
    <row r="185" ht="15.75" customHeight="1">
      <c r="V185" s="36"/>
    </row>
    <row r="186" ht="15.75" customHeight="1">
      <c r="V186" s="36"/>
    </row>
    <row r="187" ht="15.75" customHeight="1">
      <c r="V187" s="36"/>
    </row>
    <row r="188" ht="15.75" customHeight="1">
      <c r="V188" s="36"/>
    </row>
    <row r="189" ht="15.75" customHeight="1">
      <c r="V189" s="36"/>
    </row>
    <row r="190" ht="15.75" customHeight="1">
      <c r="V190" s="36"/>
    </row>
    <row r="191" ht="15.75" customHeight="1">
      <c r="V191" s="36"/>
    </row>
    <row r="192" ht="15.75" customHeight="1">
      <c r="V192" s="36"/>
    </row>
    <row r="193" ht="15.75" customHeight="1">
      <c r="V193" s="36"/>
    </row>
    <row r="194" ht="15.75" customHeight="1">
      <c r="V194" s="36"/>
    </row>
    <row r="195" ht="15.75" customHeight="1">
      <c r="V195" s="36"/>
    </row>
    <row r="196" ht="15.75" customHeight="1">
      <c r="V196" s="36"/>
    </row>
    <row r="197" ht="15.75" customHeight="1">
      <c r="V197" s="36"/>
    </row>
    <row r="198" ht="15.75" customHeight="1">
      <c r="V198" s="36"/>
    </row>
    <row r="199" ht="15.75" customHeight="1">
      <c r="V199" s="36"/>
    </row>
    <row r="200" ht="15.75" customHeight="1">
      <c r="V200" s="36"/>
    </row>
    <row r="201" ht="15.75" customHeight="1">
      <c r="V201" s="36"/>
    </row>
    <row r="202" ht="15.75" customHeight="1">
      <c r="V202" s="36"/>
    </row>
    <row r="203" ht="15.75" customHeight="1">
      <c r="V203" s="36"/>
    </row>
    <row r="204" ht="15.75" customHeight="1">
      <c r="V204" s="36"/>
    </row>
    <row r="205" ht="15.75" customHeight="1">
      <c r="V205" s="36"/>
    </row>
    <row r="206" ht="15.75" customHeight="1">
      <c r="V206" s="36"/>
    </row>
    <row r="207" ht="15.75" customHeight="1">
      <c r="V207" s="36"/>
    </row>
    <row r="208" ht="15.75" customHeight="1">
      <c r="V208" s="36"/>
    </row>
    <row r="209" ht="15.75" customHeight="1">
      <c r="V209" s="36"/>
    </row>
    <row r="210" ht="15.75" customHeight="1">
      <c r="V210" s="36"/>
    </row>
    <row r="211" ht="15.75" customHeight="1">
      <c r="V211" s="36"/>
    </row>
    <row r="212" ht="15.75" customHeight="1">
      <c r="V212" s="36"/>
    </row>
    <row r="213" ht="15.75" customHeight="1">
      <c r="V213" s="36"/>
    </row>
    <row r="214" ht="15.75" customHeight="1">
      <c r="V214" s="36"/>
    </row>
    <row r="215" ht="15.75" customHeight="1">
      <c r="V215" s="36"/>
    </row>
    <row r="216" ht="15.75" customHeight="1">
      <c r="V216" s="36"/>
    </row>
    <row r="217" ht="15.75" customHeight="1">
      <c r="V217" s="36"/>
    </row>
    <row r="218" ht="15.75" customHeight="1">
      <c r="V218" s="36"/>
    </row>
    <row r="219" ht="15.75" customHeight="1">
      <c r="V219" s="36"/>
    </row>
    <row r="220" ht="15.75" customHeight="1">
      <c r="V220" s="36"/>
    </row>
    <row r="221" ht="15.75" customHeight="1">
      <c r="V221" s="36"/>
    </row>
    <row r="222" ht="15.75" customHeight="1">
      <c r="V222" s="36"/>
    </row>
    <row r="223" ht="15.75" customHeight="1">
      <c r="V223" s="36"/>
    </row>
    <row r="224" ht="15.75" customHeight="1">
      <c r="V224" s="36"/>
    </row>
    <row r="225" ht="15.75" customHeight="1">
      <c r="V225" s="36"/>
    </row>
    <row r="226" ht="15.75" customHeight="1">
      <c r="V226" s="36"/>
    </row>
    <row r="227" ht="15.75" customHeight="1">
      <c r="V227" s="36"/>
    </row>
    <row r="228" ht="15.75" customHeight="1">
      <c r="V228" s="36"/>
    </row>
    <row r="229" ht="15.75" customHeight="1">
      <c r="V229" s="36"/>
    </row>
    <row r="230" ht="15.75" customHeight="1">
      <c r="V230" s="36"/>
    </row>
    <row r="231" ht="15.75" customHeight="1">
      <c r="V231" s="36"/>
    </row>
    <row r="232" ht="15.75" customHeight="1">
      <c r="V232" s="36"/>
    </row>
    <row r="233" ht="15.75" customHeight="1">
      <c r="V233" s="36"/>
    </row>
    <row r="234" ht="15.75" customHeight="1">
      <c r="V234" s="36"/>
    </row>
    <row r="235" ht="15.75" customHeight="1">
      <c r="V235" s="36"/>
    </row>
    <row r="236" ht="15.75" customHeight="1">
      <c r="V236" s="36"/>
    </row>
    <row r="237" ht="15.75" customHeight="1">
      <c r="V237" s="36"/>
    </row>
    <row r="238" ht="15.75" customHeight="1">
      <c r="V238" s="36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Y$40"/>
  <mergeCells count="6">
    <mergeCell ref="C1:H1"/>
    <mergeCell ref="K1:P1"/>
    <mergeCell ref="S1:X1"/>
    <mergeCell ref="C2:D2"/>
    <mergeCell ref="K2:L2"/>
    <mergeCell ref="S2:T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5" t="s">
        <v>3</v>
      </c>
      <c r="B1" s="3" t="s">
        <v>4</v>
      </c>
      <c r="C1" s="4"/>
      <c r="D1" s="4"/>
      <c r="E1" s="4"/>
      <c r="F1" s="4"/>
      <c r="G1" s="4"/>
    </row>
    <row r="2">
      <c r="A2" s="7" t="s">
        <v>5</v>
      </c>
      <c r="B2" s="8" t="s">
        <v>10</v>
      </c>
      <c r="C2" s="9"/>
      <c r="D2" s="10" t="s">
        <v>6</v>
      </c>
      <c r="E2" s="11" t="s">
        <v>7</v>
      </c>
      <c r="F2" s="12" t="s">
        <v>8</v>
      </c>
      <c r="G2" s="6" t="s">
        <v>9</v>
      </c>
    </row>
    <row r="3">
      <c r="A3" s="14" t="s">
        <v>14</v>
      </c>
      <c r="B3" s="16"/>
      <c r="C3" s="14">
        <v>8.5</v>
      </c>
      <c r="D3" s="15">
        <v>10.0</v>
      </c>
      <c r="E3" s="15">
        <v>10.0</v>
      </c>
      <c r="F3" s="15">
        <v>10.0</v>
      </c>
      <c r="G3" s="17">
        <f t="shared" ref="G3:G18" si="1">+(AVERAGE(B3,C3)*0.3)+(D3*0.1)+(E3*0.3)+(F3*0.3)</f>
        <v>9.55</v>
      </c>
    </row>
    <row r="4">
      <c r="A4" s="14" t="s">
        <v>17</v>
      </c>
      <c r="B4" s="16"/>
      <c r="C4" s="19">
        <v>10.0</v>
      </c>
      <c r="D4" s="15">
        <v>10.0</v>
      </c>
      <c r="E4" s="20">
        <v>9.5</v>
      </c>
      <c r="F4" s="20">
        <v>10.0</v>
      </c>
      <c r="G4" s="17">
        <f t="shared" si="1"/>
        <v>9.85</v>
      </c>
    </row>
    <row r="5">
      <c r="A5" s="14" t="s">
        <v>24</v>
      </c>
      <c r="B5" s="16"/>
      <c r="C5" s="14">
        <v>10.0</v>
      </c>
      <c r="D5" s="15">
        <v>10.0</v>
      </c>
      <c r="E5" s="15">
        <v>10.0</v>
      </c>
      <c r="F5" s="20">
        <v>10.0</v>
      </c>
      <c r="G5" s="17">
        <f t="shared" si="1"/>
        <v>10</v>
      </c>
    </row>
    <row r="6">
      <c r="A6" s="14" t="s">
        <v>30</v>
      </c>
      <c r="B6" s="16"/>
      <c r="C6" s="14">
        <v>8.1</v>
      </c>
      <c r="D6" s="15">
        <v>10.0</v>
      </c>
      <c r="E6" s="20">
        <v>8.5</v>
      </c>
      <c r="F6" s="20">
        <v>10.0</v>
      </c>
      <c r="G6" s="17">
        <f t="shared" si="1"/>
        <v>8.98</v>
      </c>
    </row>
    <row r="7">
      <c r="A7" s="14" t="s">
        <v>33</v>
      </c>
      <c r="B7" s="16"/>
      <c r="C7" s="19">
        <v>10.0</v>
      </c>
      <c r="D7" s="15">
        <v>10.0</v>
      </c>
      <c r="E7" s="20">
        <v>10.0</v>
      </c>
      <c r="F7" s="15">
        <v>10.0</v>
      </c>
      <c r="G7" s="17">
        <f t="shared" si="1"/>
        <v>10</v>
      </c>
    </row>
    <row r="8">
      <c r="A8" s="14" t="s">
        <v>36</v>
      </c>
      <c r="B8" s="16"/>
      <c r="C8" s="19">
        <v>10.0</v>
      </c>
      <c r="D8" s="15">
        <v>10.0</v>
      </c>
      <c r="E8" s="20">
        <v>10.0</v>
      </c>
      <c r="F8" s="20">
        <v>10.0</v>
      </c>
      <c r="G8" s="17">
        <f t="shared" si="1"/>
        <v>10</v>
      </c>
    </row>
    <row r="9">
      <c r="A9" s="14" t="s">
        <v>39</v>
      </c>
      <c r="B9" s="16"/>
      <c r="C9" s="14">
        <v>10.0</v>
      </c>
      <c r="D9" s="15">
        <v>10.0</v>
      </c>
      <c r="E9" s="20">
        <v>10.0</v>
      </c>
      <c r="F9" s="15">
        <v>10.0</v>
      </c>
      <c r="G9" s="17">
        <f t="shared" si="1"/>
        <v>10</v>
      </c>
    </row>
    <row r="10">
      <c r="A10" s="14" t="s">
        <v>42</v>
      </c>
      <c r="B10" s="16"/>
      <c r="C10" s="19">
        <v>10.0</v>
      </c>
      <c r="D10" s="15">
        <v>10.0</v>
      </c>
      <c r="E10" s="20">
        <v>10.0</v>
      </c>
      <c r="F10" s="20">
        <v>10.0</v>
      </c>
      <c r="G10" s="17">
        <f t="shared" si="1"/>
        <v>10</v>
      </c>
    </row>
    <row r="11">
      <c r="A11" s="14" t="s">
        <v>45</v>
      </c>
      <c r="B11" s="16"/>
      <c r="C11" s="19">
        <v>9.7</v>
      </c>
      <c r="D11" s="15">
        <v>10.0</v>
      </c>
      <c r="E11" s="20">
        <v>10.0</v>
      </c>
      <c r="F11" s="20">
        <v>10.0</v>
      </c>
      <c r="G11" s="17">
        <f t="shared" si="1"/>
        <v>9.91</v>
      </c>
    </row>
    <row r="12">
      <c r="A12" s="14" t="s">
        <v>48</v>
      </c>
      <c r="B12" s="16"/>
      <c r="C12" s="19">
        <v>10.0</v>
      </c>
      <c r="D12" s="15">
        <v>10.0</v>
      </c>
      <c r="E12" s="20">
        <v>9.5</v>
      </c>
      <c r="F12" s="20">
        <v>10.0</v>
      </c>
      <c r="G12" s="17">
        <f t="shared" si="1"/>
        <v>9.85</v>
      </c>
    </row>
    <row r="13">
      <c r="A13" s="14" t="s">
        <v>51</v>
      </c>
      <c r="B13" s="16"/>
      <c r="C13" s="19">
        <v>10.0</v>
      </c>
      <c r="D13" s="15">
        <v>10.0</v>
      </c>
      <c r="E13" s="15">
        <v>10.0</v>
      </c>
      <c r="F13" s="20">
        <v>10.0</v>
      </c>
      <c r="G13" s="17">
        <f t="shared" si="1"/>
        <v>10</v>
      </c>
    </row>
    <row r="14">
      <c r="A14" s="14" t="s">
        <v>54</v>
      </c>
      <c r="B14" s="16"/>
      <c r="C14" s="14">
        <v>8.0</v>
      </c>
      <c r="D14" s="15">
        <v>0.0</v>
      </c>
      <c r="E14" s="20">
        <v>10.0</v>
      </c>
      <c r="F14" s="20">
        <v>10.0</v>
      </c>
      <c r="G14" s="17">
        <f t="shared" si="1"/>
        <v>8.4</v>
      </c>
    </row>
    <row r="15">
      <c r="A15" s="14" t="s">
        <v>57</v>
      </c>
      <c r="B15" s="16"/>
      <c r="C15" s="19">
        <v>9.7</v>
      </c>
      <c r="D15" s="15">
        <v>10.0</v>
      </c>
      <c r="E15" s="15">
        <v>10.0</v>
      </c>
      <c r="F15" s="20">
        <v>10.0</v>
      </c>
      <c r="G15" s="17">
        <f t="shared" si="1"/>
        <v>9.91</v>
      </c>
    </row>
    <row r="16">
      <c r="A16" s="14" t="s">
        <v>60</v>
      </c>
      <c r="B16" s="23"/>
      <c r="C16" s="15">
        <v>10.0</v>
      </c>
      <c r="D16" s="15">
        <v>10.0</v>
      </c>
      <c r="E16" s="15">
        <v>10.0</v>
      </c>
      <c r="F16" s="20">
        <v>10.0</v>
      </c>
      <c r="G16" s="17">
        <f t="shared" si="1"/>
        <v>10</v>
      </c>
    </row>
    <row r="17">
      <c r="A17" s="14" t="s">
        <v>61</v>
      </c>
      <c r="B17" s="23"/>
      <c r="C17" s="20">
        <v>10.0</v>
      </c>
      <c r="D17" s="15">
        <v>10.0</v>
      </c>
      <c r="E17" s="20">
        <v>10.0</v>
      </c>
      <c r="F17" s="20">
        <v>10.0</v>
      </c>
      <c r="G17" s="17">
        <f t="shared" si="1"/>
        <v>10</v>
      </c>
    </row>
    <row r="18">
      <c r="A18" s="14" t="s">
        <v>62</v>
      </c>
      <c r="B18" s="23"/>
      <c r="C18" s="15">
        <v>8.0</v>
      </c>
      <c r="D18" s="15">
        <v>10.0</v>
      </c>
      <c r="E18" s="20">
        <v>9.5</v>
      </c>
      <c r="F18" s="20">
        <v>10.0</v>
      </c>
      <c r="G18" s="17">
        <f t="shared" si="1"/>
        <v>9.25</v>
      </c>
    </row>
  </sheetData>
  <mergeCells count="2">
    <mergeCell ref="B1:G1"/>
    <mergeCell ref="B2:C2"/>
  </mergeCells>
  <drawing r:id="rId1"/>
</worksheet>
</file>